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ar\Desktop\Entrega TFM\Entrega Campus\"/>
    </mc:Choice>
  </mc:AlternateContent>
  <xr:revisionPtr revIDLastSave="0" documentId="13_ncr:1_{A4B4A745-D681-4EB0-A932-E3800A1E782C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🏠 PORTADA" sheetId="1" r:id="rId1"/>
    <sheet name="📇 INVENTARIO" sheetId="2" r:id="rId2"/>
    <sheet name="📋 RANKING" sheetId="4" r:id="rId3"/>
    <sheet name="📊 SECCIONES" sheetId="5" r:id="rId4"/>
    <sheet name="⚙️ SUPUESTOS" sheetId="6" r:id="rId5"/>
    <sheet name="📊 PANEL" sheetId="3" r:id="rId6"/>
    <sheet name="📌 FUENTES" sheetId="7" r:id="rId7"/>
    <sheet name="_cfg" sheetId="8" state="hidden" r:id="rId8"/>
  </sheets>
  <definedNames>
    <definedName name="_xlnm._FilterDatabase" localSheetId="1" hidden="1">'📇 INVENTARIO'!$A$3:$P$3</definedName>
    <definedName name="_xlnm._FilterDatabase" localSheetId="2" hidden="1">'📋 RANKING'!$A$2:$AC$216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6" l="1"/>
  <c r="S9" i="5"/>
  <c r="R9" i="5"/>
  <c r="O9" i="5"/>
  <c r="N9" i="5"/>
  <c r="M9" i="5"/>
  <c r="S8" i="5"/>
  <c r="R8" i="5"/>
  <c r="O8" i="5"/>
  <c r="N8" i="5"/>
  <c r="M8" i="5"/>
  <c r="S7" i="5"/>
  <c r="R7" i="5"/>
  <c r="O7" i="5"/>
  <c r="N7" i="5"/>
  <c r="M7" i="5"/>
  <c r="P7" i="5" s="1"/>
  <c r="S6" i="5"/>
  <c r="R6" i="5"/>
  <c r="O6" i="5"/>
  <c r="N6" i="5"/>
  <c r="M6" i="5"/>
  <c r="P6" i="5" s="1"/>
  <c r="S5" i="5"/>
  <c r="R5" i="5"/>
  <c r="O5" i="5"/>
  <c r="N5" i="5"/>
  <c r="M5" i="5"/>
  <c r="S4" i="5"/>
  <c r="R4" i="5"/>
  <c r="O4" i="5"/>
  <c r="N4" i="5"/>
  <c r="M4" i="5"/>
  <c r="P4" i="5" s="1"/>
  <c r="AH265" i="4"/>
  <c r="AG265" i="4"/>
  <c r="X265" i="4"/>
  <c r="V265" i="4"/>
  <c r="S265" i="4"/>
  <c r="J265" i="4"/>
  <c r="I265" i="4"/>
  <c r="H265" i="4"/>
  <c r="G265" i="4"/>
  <c r="F265" i="4"/>
  <c r="E265" i="4"/>
  <c r="D265" i="4"/>
  <c r="C265" i="4"/>
  <c r="Z265" i="4" s="1"/>
  <c r="AH264" i="4"/>
  <c r="AG264" i="4"/>
  <c r="X264" i="4"/>
  <c r="V264" i="4"/>
  <c r="S264" i="4"/>
  <c r="J264" i="4"/>
  <c r="I264" i="4"/>
  <c r="H264" i="4"/>
  <c r="G264" i="4"/>
  <c r="F264" i="4"/>
  <c r="E264" i="4"/>
  <c r="D264" i="4"/>
  <c r="C264" i="4"/>
  <c r="AB264" i="4" s="1"/>
  <c r="AH263" i="4"/>
  <c r="AG263" i="4"/>
  <c r="X263" i="4"/>
  <c r="V263" i="4"/>
  <c r="S263" i="4"/>
  <c r="J263" i="4"/>
  <c r="I263" i="4"/>
  <c r="H263" i="4"/>
  <c r="G263" i="4"/>
  <c r="F263" i="4"/>
  <c r="E263" i="4"/>
  <c r="D263" i="4"/>
  <c r="C263" i="4"/>
  <c r="AH262" i="4"/>
  <c r="AG262" i="4"/>
  <c r="X262" i="4"/>
  <c r="V262" i="4"/>
  <c r="S262" i="4"/>
  <c r="J262" i="4"/>
  <c r="I262" i="4"/>
  <c r="H262" i="4"/>
  <c r="G262" i="4"/>
  <c r="F262" i="4"/>
  <c r="E262" i="4"/>
  <c r="D262" i="4"/>
  <c r="C262" i="4"/>
  <c r="O262" i="4" s="1"/>
  <c r="AH261" i="4"/>
  <c r="AG261" i="4"/>
  <c r="X261" i="4"/>
  <c r="V261" i="4"/>
  <c r="S261" i="4"/>
  <c r="J261" i="4"/>
  <c r="I261" i="4"/>
  <c r="H261" i="4"/>
  <c r="G261" i="4"/>
  <c r="F261" i="4"/>
  <c r="E261" i="4"/>
  <c r="D261" i="4"/>
  <c r="C261" i="4"/>
  <c r="Z261" i="4" s="1"/>
  <c r="AH260" i="4"/>
  <c r="AG260" i="4"/>
  <c r="X260" i="4"/>
  <c r="V260" i="4"/>
  <c r="S260" i="4"/>
  <c r="J260" i="4"/>
  <c r="I260" i="4"/>
  <c r="H260" i="4"/>
  <c r="G260" i="4"/>
  <c r="F260" i="4"/>
  <c r="E260" i="4"/>
  <c r="D260" i="4"/>
  <c r="C260" i="4"/>
  <c r="O260" i="4" s="1"/>
  <c r="AH259" i="4"/>
  <c r="AG259" i="4"/>
  <c r="X259" i="4"/>
  <c r="V259" i="4"/>
  <c r="S259" i="4"/>
  <c r="J259" i="4"/>
  <c r="I259" i="4"/>
  <c r="H259" i="4"/>
  <c r="G259" i="4"/>
  <c r="F259" i="4"/>
  <c r="E259" i="4"/>
  <c r="D259" i="4"/>
  <c r="C259" i="4"/>
  <c r="AH258" i="4"/>
  <c r="AG258" i="4"/>
  <c r="X258" i="4"/>
  <c r="V258" i="4"/>
  <c r="S258" i="4"/>
  <c r="J258" i="4"/>
  <c r="I258" i="4"/>
  <c r="H258" i="4"/>
  <c r="G258" i="4"/>
  <c r="F258" i="4"/>
  <c r="E258" i="4"/>
  <c r="D258" i="4"/>
  <c r="C258" i="4"/>
  <c r="AA258" i="4" s="1"/>
  <c r="AH257" i="4"/>
  <c r="AG257" i="4"/>
  <c r="X257" i="4"/>
  <c r="V257" i="4"/>
  <c r="S257" i="4"/>
  <c r="J257" i="4"/>
  <c r="I257" i="4"/>
  <c r="H257" i="4"/>
  <c r="G257" i="4"/>
  <c r="F257" i="4"/>
  <c r="E257" i="4"/>
  <c r="D257" i="4"/>
  <c r="C257" i="4"/>
  <c r="AH256" i="4"/>
  <c r="AG256" i="4"/>
  <c r="X256" i="4"/>
  <c r="V256" i="4"/>
  <c r="S256" i="4"/>
  <c r="J256" i="4"/>
  <c r="I256" i="4"/>
  <c r="H256" i="4"/>
  <c r="G256" i="4"/>
  <c r="F256" i="4"/>
  <c r="E256" i="4"/>
  <c r="D256" i="4"/>
  <c r="C256" i="4"/>
  <c r="W256" i="4" s="1"/>
  <c r="AH255" i="4"/>
  <c r="AG255" i="4"/>
  <c r="X255" i="4"/>
  <c r="V255" i="4"/>
  <c r="S255" i="4"/>
  <c r="J255" i="4"/>
  <c r="I255" i="4"/>
  <c r="H255" i="4"/>
  <c r="G255" i="4"/>
  <c r="F255" i="4"/>
  <c r="E255" i="4"/>
  <c r="D255" i="4"/>
  <c r="C255" i="4"/>
  <c r="Y255" i="4" s="1"/>
  <c r="AH254" i="4"/>
  <c r="AG254" i="4"/>
  <c r="X254" i="4"/>
  <c r="V254" i="4"/>
  <c r="S254" i="4"/>
  <c r="J254" i="4"/>
  <c r="I254" i="4"/>
  <c r="H254" i="4"/>
  <c r="G254" i="4"/>
  <c r="F254" i="4"/>
  <c r="E254" i="4"/>
  <c r="D254" i="4"/>
  <c r="C254" i="4"/>
  <c r="W254" i="4" s="1"/>
  <c r="AH253" i="4"/>
  <c r="AG253" i="4"/>
  <c r="X253" i="4"/>
  <c r="V253" i="4"/>
  <c r="S253" i="4"/>
  <c r="J253" i="4"/>
  <c r="I253" i="4"/>
  <c r="H253" i="4"/>
  <c r="G253" i="4"/>
  <c r="F253" i="4"/>
  <c r="E253" i="4"/>
  <c r="D253" i="4"/>
  <c r="C253" i="4"/>
  <c r="Z253" i="4" s="1"/>
  <c r="AH252" i="4"/>
  <c r="AG252" i="4"/>
  <c r="X252" i="4"/>
  <c r="V252" i="4"/>
  <c r="S252" i="4"/>
  <c r="J252" i="4"/>
  <c r="I252" i="4"/>
  <c r="H252" i="4"/>
  <c r="G252" i="4"/>
  <c r="F252" i="4"/>
  <c r="E252" i="4"/>
  <c r="D252" i="4"/>
  <c r="C252" i="4"/>
  <c r="Z252" i="4" s="1"/>
  <c r="AH251" i="4"/>
  <c r="AG251" i="4"/>
  <c r="X251" i="4"/>
  <c r="V251" i="4"/>
  <c r="S251" i="4"/>
  <c r="J251" i="4"/>
  <c r="I251" i="4"/>
  <c r="H251" i="4"/>
  <c r="G251" i="4"/>
  <c r="F251" i="4"/>
  <c r="E251" i="4"/>
  <c r="D251" i="4"/>
  <c r="C251" i="4"/>
  <c r="AH250" i="4"/>
  <c r="AG250" i="4"/>
  <c r="X250" i="4"/>
  <c r="V250" i="4"/>
  <c r="S250" i="4"/>
  <c r="J250" i="4"/>
  <c r="I250" i="4"/>
  <c r="H250" i="4"/>
  <c r="G250" i="4"/>
  <c r="F250" i="4"/>
  <c r="E250" i="4"/>
  <c r="D250" i="4"/>
  <c r="C250" i="4"/>
  <c r="AH249" i="4"/>
  <c r="AG249" i="4"/>
  <c r="X249" i="4"/>
  <c r="V249" i="4"/>
  <c r="S249" i="4"/>
  <c r="J249" i="4"/>
  <c r="I249" i="4"/>
  <c r="H249" i="4"/>
  <c r="G249" i="4"/>
  <c r="F249" i="4"/>
  <c r="E249" i="4"/>
  <c r="D249" i="4"/>
  <c r="C249" i="4"/>
  <c r="Z249" i="4" s="1"/>
  <c r="AH248" i="4"/>
  <c r="AG248" i="4"/>
  <c r="X248" i="4"/>
  <c r="V248" i="4"/>
  <c r="S248" i="4"/>
  <c r="J248" i="4"/>
  <c r="I248" i="4"/>
  <c r="H248" i="4"/>
  <c r="G248" i="4"/>
  <c r="F248" i="4"/>
  <c r="E248" i="4"/>
  <c r="D248" i="4"/>
  <c r="C248" i="4"/>
  <c r="O248" i="4" s="1"/>
  <c r="AH247" i="4"/>
  <c r="AG247" i="4"/>
  <c r="X247" i="4"/>
  <c r="V247" i="4"/>
  <c r="S247" i="4"/>
  <c r="J247" i="4"/>
  <c r="I247" i="4"/>
  <c r="H247" i="4"/>
  <c r="G247" i="4"/>
  <c r="F247" i="4"/>
  <c r="E247" i="4"/>
  <c r="D247" i="4"/>
  <c r="C247" i="4"/>
  <c r="U247" i="4" s="1"/>
  <c r="AH246" i="4"/>
  <c r="AG246" i="4"/>
  <c r="X246" i="4"/>
  <c r="V246" i="4"/>
  <c r="S246" i="4"/>
  <c r="J246" i="4"/>
  <c r="I246" i="4"/>
  <c r="H246" i="4"/>
  <c r="G246" i="4"/>
  <c r="F246" i="4"/>
  <c r="E246" i="4"/>
  <c r="D246" i="4"/>
  <c r="C246" i="4"/>
  <c r="AH245" i="4"/>
  <c r="AG245" i="4"/>
  <c r="X245" i="4"/>
  <c r="V245" i="4"/>
  <c r="S245" i="4"/>
  <c r="J245" i="4"/>
  <c r="I245" i="4"/>
  <c r="H245" i="4"/>
  <c r="G245" i="4"/>
  <c r="F245" i="4"/>
  <c r="E245" i="4"/>
  <c r="D245" i="4"/>
  <c r="C245" i="4"/>
  <c r="Z245" i="4" s="1"/>
  <c r="AH244" i="4"/>
  <c r="AG244" i="4"/>
  <c r="X244" i="4"/>
  <c r="V244" i="4"/>
  <c r="S244" i="4"/>
  <c r="J244" i="4"/>
  <c r="I244" i="4"/>
  <c r="H244" i="4"/>
  <c r="G244" i="4"/>
  <c r="F244" i="4"/>
  <c r="E244" i="4"/>
  <c r="D244" i="4"/>
  <c r="C244" i="4"/>
  <c r="AH243" i="4"/>
  <c r="AG243" i="4"/>
  <c r="X243" i="4"/>
  <c r="V243" i="4"/>
  <c r="S243" i="4"/>
  <c r="J243" i="4"/>
  <c r="I243" i="4"/>
  <c r="H243" i="4"/>
  <c r="G243" i="4"/>
  <c r="F243" i="4"/>
  <c r="E243" i="4"/>
  <c r="D243" i="4"/>
  <c r="C243" i="4"/>
  <c r="L243" i="4" s="1"/>
  <c r="AH242" i="4"/>
  <c r="AG242" i="4"/>
  <c r="X242" i="4"/>
  <c r="V242" i="4"/>
  <c r="S242" i="4"/>
  <c r="J242" i="4"/>
  <c r="I242" i="4"/>
  <c r="H242" i="4"/>
  <c r="G242" i="4"/>
  <c r="F242" i="4"/>
  <c r="E242" i="4"/>
  <c r="D242" i="4"/>
  <c r="C242" i="4"/>
  <c r="W242" i="4" s="1"/>
  <c r="AH241" i="4"/>
  <c r="AG241" i="4"/>
  <c r="X241" i="4"/>
  <c r="V241" i="4"/>
  <c r="S241" i="4"/>
  <c r="J241" i="4"/>
  <c r="I241" i="4"/>
  <c r="H241" i="4"/>
  <c r="G241" i="4"/>
  <c r="F241" i="4"/>
  <c r="E241" i="4"/>
  <c r="D241" i="4"/>
  <c r="C241" i="4"/>
  <c r="Z241" i="4" s="1"/>
  <c r="AH240" i="4"/>
  <c r="AG240" i="4"/>
  <c r="X240" i="4"/>
  <c r="V240" i="4"/>
  <c r="S240" i="4"/>
  <c r="J240" i="4"/>
  <c r="I240" i="4"/>
  <c r="H240" i="4"/>
  <c r="G240" i="4"/>
  <c r="F240" i="4"/>
  <c r="E240" i="4"/>
  <c r="D240" i="4"/>
  <c r="C240" i="4"/>
  <c r="A240" i="4" s="1"/>
  <c r="AH239" i="4"/>
  <c r="AG239" i="4"/>
  <c r="X239" i="4"/>
  <c r="V239" i="4"/>
  <c r="S239" i="4"/>
  <c r="J239" i="4"/>
  <c r="I239" i="4"/>
  <c r="H239" i="4"/>
  <c r="G239" i="4"/>
  <c r="F239" i="4"/>
  <c r="E239" i="4"/>
  <c r="D239" i="4"/>
  <c r="C239" i="4"/>
  <c r="AC239" i="4" s="1"/>
  <c r="AH238" i="4"/>
  <c r="AG238" i="4"/>
  <c r="X238" i="4"/>
  <c r="V238" i="4"/>
  <c r="S238" i="4"/>
  <c r="J238" i="4"/>
  <c r="I238" i="4"/>
  <c r="H238" i="4"/>
  <c r="G238" i="4"/>
  <c r="F238" i="4"/>
  <c r="E238" i="4"/>
  <c r="D238" i="4"/>
  <c r="C238" i="4"/>
  <c r="R238" i="4" s="1"/>
  <c r="AH237" i="4"/>
  <c r="AG237" i="4"/>
  <c r="X237" i="4"/>
  <c r="V237" i="4"/>
  <c r="S237" i="4"/>
  <c r="J237" i="4"/>
  <c r="I237" i="4"/>
  <c r="H237" i="4"/>
  <c r="G237" i="4"/>
  <c r="F237" i="4"/>
  <c r="E237" i="4"/>
  <c r="D237" i="4"/>
  <c r="C237" i="4"/>
  <c r="Z237" i="4" s="1"/>
  <c r="AH236" i="4"/>
  <c r="AG236" i="4"/>
  <c r="X236" i="4"/>
  <c r="V236" i="4"/>
  <c r="S236" i="4"/>
  <c r="J236" i="4"/>
  <c r="I236" i="4"/>
  <c r="H236" i="4"/>
  <c r="G236" i="4"/>
  <c r="F236" i="4"/>
  <c r="E236" i="4"/>
  <c r="D236" i="4"/>
  <c r="C236" i="4"/>
  <c r="B236" i="4" s="1"/>
  <c r="AH235" i="4"/>
  <c r="AG235" i="4"/>
  <c r="X235" i="4"/>
  <c r="V235" i="4"/>
  <c r="S235" i="4"/>
  <c r="J235" i="4"/>
  <c r="I235" i="4"/>
  <c r="H235" i="4"/>
  <c r="G235" i="4"/>
  <c r="F235" i="4"/>
  <c r="E235" i="4"/>
  <c r="D235" i="4"/>
  <c r="C235" i="4"/>
  <c r="AH234" i="4"/>
  <c r="AG234" i="4"/>
  <c r="X234" i="4"/>
  <c r="V234" i="4"/>
  <c r="S234" i="4"/>
  <c r="J234" i="4"/>
  <c r="I234" i="4"/>
  <c r="H234" i="4"/>
  <c r="G234" i="4"/>
  <c r="F234" i="4"/>
  <c r="E234" i="4"/>
  <c r="D234" i="4"/>
  <c r="C234" i="4"/>
  <c r="Y234" i="4" s="1"/>
  <c r="AH233" i="4"/>
  <c r="AG233" i="4"/>
  <c r="X233" i="4"/>
  <c r="V233" i="4"/>
  <c r="S233" i="4"/>
  <c r="J233" i="4"/>
  <c r="I233" i="4"/>
  <c r="H233" i="4"/>
  <c r="G233" i="4"/>
  <c r="F233" i="4"/>
  <c r="E233" i="4"/>
  <c r="D233" i="4"/>
  <c r="C233" i="4"/>
  <c r="AA233" i="4" s="1"/>
  <c r="AH232" i="4"/>
  <c r="AG232" i="4"/>
  <c r="X232" i="4"/>
  <c r="V232" i="4"/>
  <c r="S232" i="4"/>
  <c r="J232" i="4"/>
  <c r="I232" i="4"/>
  <c r="H232" i="4"/>
  <c r="G232" i="4"/>
  <c r="F232" i="4"/>
  <c r="E232" i="4"/>
  <c r="D232" i="4"/>
  <c r="C232" i="4"/>
  <c r="AH231" i="4"/>
  <c r="AG231" i="4"/>
  <c r="X231" i="4"/>
  <c r="V231" i="4"/>
  <c r="S231" i="4"/>
  <c r="J231" i="4"/>
  <c r="I231" i="4"/>
  <c r="H231" i="4"/>
  <c r="G231" i="4"/>
  <c r="F231" i="4"/>
  <c r="E231" i="4"/>
  <c r="D231" i="4"/>
  <c r="C231" i="4"/>
  <c r="AH230" i="4"/>
  <c r="AG230" i="4"/>
  <c r="X230" i="4"/>
  <c r="V230" i="4"/>
  <c r="S230" i="4"/>
  <c r="J230" i="4"/>
  <c r="I230" i="4"/>
  <c r="H230" i="4"/>
  <c r="G230" i="4"/>
  <c r="F230" i="4"/>
  <c r="E230" i="4"/>
  <c r="D230" i="4"/>
  <c r="C230" i="4"/>
  <c r="Y230" i="4" s="1"/>
  <c r="AH229" i="4"/>
  <c r="AG229" i="4"/>
  <c r="X229" i="4"/>
  <c r="V229" i="4"/>
  <c r="S229" i="4"/>
  <c r="J229" i="4"/>
  <c r="I229" i="4"/>
  <c r="H229" i="4"/>
  <c r="G229" i="4"/>
  <c r="F229" i="4"/>
  <c r="E229" i="4"/>
  <c r="D229" i="4"/>
  <c r="C229" i="4"/>
  <c r="AA229" i="4" s="1"/>
  <c r="AH228" i="4"/>
  <c r="AG228" i="4"/>
  <c r="X228" i="4"/>
  <c r="V228" i="4"/>
  <c r="S228" i="4"/>
  <c r="J228" i="4"/>
  <c r="I228" i="4"/>
  <c r="H228" i="4"/>
  <c r="G228" i="4"/>
  <c r="F228" i="4"/>
  <c r="E228" i="4"/>
  <c r="D228" i="4"/>
  <c r="C228" i="4"/>
  <c r="AH227" i="4"/>
  <c r="AG227" i="4"/>
  <c r="X227" i="4"/>
  <c r="V227" i="4"/>
  <c r="S227" i="4"/>
  <c r="J227" i="4"/>
  <c r="I227" i="4"/>
  <c r="H227" i="4"/>
  <c r="G227" i="4"/>
  <c r="F227" i="4"/>
  <c r="E227" i="4"/>
  <c r="D227" i="4"/>
  <c r="C227" i="4"/>
  <c r="AH226" i="4"/>
  <c r="AG226" i="4"/>
  <c r="X226" i="4"/>
  <c r="V226" i="4"/>
  <c r="S226" i="4"/>
  <c r="J226" i="4"/>
  <c r="I226" i="4"/>
  <c r="H226" i="4"/>
  <c r="G226" i="4"/>
  <c r="F226" i="4"/>
  <c r="E226" i="4"/>
  <c r="D226" i="4"/>
  <c r="C226" i="4"/>
  <c r="Y226" i="4" s="1"/>
  <c r="AH225" i="4"/>
  <c r="AG225" i="4"/>
  <c r="X225" i="4"/>
  <c r="V225" i="4"/>
  <c r="S225" i="4"/>
  <c r="J225" i="4"/>
  <c r="I225" i="4"/>
  <c r="H225" i="4"/>
  <c r="G225" i="4"/>
  <c r="F225" i="4"/>
  <c r="E225" i="4"/>
  <c r="D225" i="4"/>
  <c r="C225" i="4"/>
  <c r="AA225" i="4" s="1"/>
  <c r="AH224" i="4"/>
  <c r="AG224" i="4"/>
  <c r="X224" i="4"/>
  <c r="V224" i="4"/>
  <c r="S224" i="4"/>
  <c r="J224" i="4"/>
  <c r="I224" i="4"/>
  <c r="H224" i="4"/>
  <c r="G224" i="4"/>
  <c r="F224" i="4"/>
  <c r="E224" i="4"/>
  <c r="D224" i="4"/>
  <c r="C224" i="4"/>
  <c r="AH223" i="4"/>
  <c r="AG223" i="4"/>
  <c r="X223" i="4"/>
  <c r="V223" i="4"/>
  <c r="S223" i="4"/>
  <c r="J223" i="4"/>
  <c r="I223" i="4"/>
  <c r="H223" i="4"/>
  <c r="G223" i="4"/>
  <c r="F223" i="4"/>
  <c r="E223" i="4"/>
  <c r="D223" i="4"/>
  <c r="C223" i="4"/>
  <c r="AH222" i="4"/>
  <c r="AG222" i="4"/>
  <c r="X222" i="4"/>
  <c r="V222" i="4"/>
  <c r="S222" i="4"/>
  <c r="J222" i="4"/>
  <c r="I222" i="4"/>
  <c r="H222" i="4"/>
  <c r="G222" i="4"/>
  <c r="F222" i="4"/>
  <c r="E222" i="4"/>
  <c r="D222" i="4"/>
  <c r="C222" i="4"/>
  <c r="AH221" i="4"/>
  <c r="AG221" i="4"/>
  <c r="X221" i="4"/>
  <c r="V221" i="4"/>
  <c r="S221" i="4"/>
  <c r="J221" i="4"/>
  <c r="I221" i="4"/>
  <c r="H221" i="4"/>
  <c r="G221" i="4"/>
  <c r="F221" i="4"/>
  <c r="E221" i="4"/>
  <c r="D221" i="4"/>
  <c r="C221" i="4"/>
  <c r="AA221" i="4" s="1"/>
  <c r="AH220" i="4"/>
  <c r="AG220" i="4"/>
  <c r="X220" i="4"/>
  <c r="V220" i="4"/>
  <c r="S220" i="4"/>
  <c r="J220" i="4"/>
  <c r="I220" i="4"/>
  <c r="H220" i="4"/>
  <c r="G220" i="4"/>
  <c r="F220" i="4"/>
  <c r="E220" i="4"/>
  <c r="D220" i="4"/>
  <c r="C220" i="4"/>
  <c r="T220" i="4" s="1"/>
  <c r="AH219" i="4"/>
  <c r="AG219" i="4"/>
  <c r="X219" i="4"/>
  <c r="V219" i="4"/>
  <c r="S219" i="4"/>
  <c r="J219" i="4"/>
  <c r="I219" i="4"/>
  <c r="H219" i="4"/>
  <c r="G219" i="4"/>
  <c r="F219" i="4"/>
  <c r="E219" i="4"/>
  <c r="D219" i="4"/>
  <c r="C219" i="4"/>
  <c r="AH218" i="4"/>
  <c r="AG218" i="4"/>
  <c r="X218" i="4"/>
  <c r="V218" i="4"/>
  <c r="S218" i="4"/>
  <c r="J218" i="4"/>
  <c r="I218" i="4"/>
  <c r="H218" i="4"/>
  <c r="G218" i="4"/>
  <c r="F218" i="4"/>
  <c r="E218" i="4"/>
  <c r="D218" i="4"/>
  <c r="C218" i="4"/>
  <c r="AH217" i="4"/>
  <c r="AG217" i="4"/>
  <c r="X217" i="4"/>
  <c r="V217" i="4"/>
  <c r="S217" i="4"/>
  <c r="J217" i="4"/>
  <c r="I217" i="4"/>
  <c r="H217" i="4"/>
  <c r="G217" i="4"/>
  <c r="F217" i="4"/>
  <c r="E217" i="4"/>
  <c r="D217" i="4"/>
  <c r="C217" i="4"/>
  <c r="L217" i="4" s="1"/>
  <c r="AH216" i="4"/>
  <c r="AG216" i="4"/>
  <c r="X216" i="4"/>
  <c r="V216" i="4"/>
  <c r="S216" i="4"/>
  <c r="J216" i="4"/>
  <c r="I216" i="4"/>
  <c r="H216" i="4"/>
  <c r="G216" i="4"/>
  <c r="F216" i="4"/>
  <c r="E216" i="4"/>
  <c r="D216" i="4"/>
  <c r="C216" i="4"/>
  <c r="T216" i="4" s="1"/>
  <c r="AH215" i="4"/>
  <c r="AG215" i="4"/>
  <c r="X215" i="4"/>
  <c r="V215" i="4"/>
  <c r="S215" i="4"/>
  <c r="J215" i="4"/>
  <c r="I215" i="4"/>
  <c r="H215" i="4"/>
  <c r="G215" i="4"/>
  <c r="F215" i="4"/>
  <c r="E215" i="4"/>
  <c r="D215" i="4"/>
  <c r="C215" i="4"/>
  <c r="AH214" i="4"/>
  <c r="AG214" i="4"/>
  <c r="X214" i="4"/>
  <c r="V214" i="4"/>
  <c r="S214" i="4"/>
  <c r="J214" i="4"/>
  <c r="I214" i="4"/>
  <c r="H214" i="4"/>
  <c r="G214" i="4"/>
  <c r="F214" i="4"/>
  <c r="E214" i="4"/>
  <c r="D214" i="4"/>
  <c r="C214" i="4"/>
  <c r="W214" i="4" s="1"/>
  <c r="AH213" i="4"/>
  <c r="AG213" i="4"/>
  <c r="X213" i="4"/>
  <c r="V213" i="4"/>
  <c r="S213" i="4"/>
  <c r="J213" i="4"/>
  <c r="I213" i="4"/>
  <c r="H213" i="4"/>
  <c r="G213" i="4"/>
  <c r="F213" i="4"/>
  <c r="E213" i="4"/>
  <c r="D213" i="4"/>
  <c r="C213" i="4"/>
  <c r="R213" i="4" s="1"/>
  <c r="AH212" i="4"/>
  <c r="AG212" i="4"/>
  <c r="X212" i="4"/>
  <c r="V212" i="4"/>
  <c r="S212" i="4"/>
  <c r="J212" i="4"/>
  <c r="I212" i="4"/>
  <c r="H212" i="4"/>
  <c r="G212" i="4"/>
  <c r="F212" i="4"/>
  <c r="E212" i="4"/>
  <c r="D212" i="4"/>
  <c r="C212" i="4"/>
  <c r="Y212" i="4" s="1"/>
  <c r="AH211" i="4"/>
  <c r="AG211" i="4"/>
  <c r="X211" i="4"/>
  <c r="V211" i="4"/>
  <c r="S211" i="4"/>
  <c r="J211" i="4"/>
  <c r="I211" i="4"/>
  <c r="H211" i="4"/>
  <c r="G211" i="4"/>
  <c r="F211" i="4"/>
  <c r="E211" i="4"/>
  <c r="D211" i="4"/>
  <c r="C211" i="4"/>
  <c r="AC211" i="4" s="1"/>
  <c r="AH210" i="4"/>
  <c r="AG210" i="4"/>
  <c r="X210" i="4"/>
  <c r="V210" i="4"/>
  <c r="S210" i="4"/>
  <c r="J210" i="4"/>
  <c r="I210" i="4"/>
  <c r="H210" i="4"/>
  <c r="G210" i="4"/>
  <c r="F210" i="4"/>
  <c r="E210" i="4"/>
  <c r="D210" i="4"/>
  <c r="C210" i="4"/>
  <c r="AH209" i="4"/>
  <c r="AG209" i="4"/>
  <c r="X209" i="4"/>
  <c r="V209" i="4"/>
  <c r="S209" i="4"/>
  <c r="J209" i="4"/>
  <c r="I209" i="4"/>
  <c r="H209" i="4"/>
  <c r="G209" i="4"/>
  <c r="F209" i="4"/>
  <c r="E209" i="4"/>
  <c r="D209" i="4"/>
  <c r="C209" i="4"/>
  <c r="AH208" i="4"/>
  <c r="AG208" i="4"/>
  <c r="X208" i="4"/>
  <c r="V208" i="4"/>
  <c r="S208" i="4"/>
  <c r="J208" i="4"/>
  <c r="I208" i="4"/>
  <c r="H208" i="4"/>
  <c r="G208" i="4"/>
  <c r="F208" i="4"/>
  <c r="E208" i="4"/>
  <c r="D208" i="4"/>
  <c r="C208" i="4"/>
  <c r="Y208" i="4" s="1"/>
  <c r="AH207" i="4"/>
  <c r="AG207" i="4"/>
  <c r="X207" i="4"/>
  <c r="V207" i="4"/>
  <c r="S207" i="4"/>
  <c r="J207" i="4"/>
  <c r="I207" i="4"/>
  <c r="H207" i="4"/>
  <c r="G207" i="4"/>
  <c r="F207" i="4"/>
  <c r="E207" i="4"/>
  <c r="D207" i="4"/>
  <c r="C207" i="4"/>
  <c r="AC207" i="4" s="1"/>
  <c r="AH206" i="4"/>
  <c r="AG206" i="4"/>
  <c r="X206" i="4"/>
  <c r="V206" i="4"/>
  <c r="S206" i="4"/>
  <c r="J206" i="4"/>
  <c r="I206" i="4"/>
  <c r="H206" i="4"/>
  <c r="G206" i="4"/>
  <c r="F206" i="4"/>
  <c r="E206" i="4"/>
  <c r="D206" i="4"/>
  <c r="C206" i="4"/>
  <c r="AB206" i="4" s="1"/>
  <c r="AH205" i="4"/>
  <c r="AG205" i="4"/>
  <c r="X205" i="4"/>
  <c r="V205" i="4"/>
  <c r="S205" i="4"/>
  <c r="J205" i="4"/>
  <c r="I205" i="4"/>
  <c r="H205" i="4"/>
  <c r="G205" i="4"/>
  <c r="F205" i="4"/>
  <c r="E205" i="4"/>
  <c r="D205" i="4"/>
  <c r="C205" i="4"/>
  <c r="AH204" i="4"/>
  <c r="AG204" i="4"/>
  <c r="X204" i="4"/>
  <c r="V204" i="4"/>
  <c r="S204" i="4"/>
  <c r="J204" i="4"/>
  <c r="I204" i="4"/>
  <c r="H204" i="4"/>
  <c r="G204" i="4"/>
  <c r="F204" i="4"/>
  <c r="E204" i="4"/>
  <c r="D204" i="4"/>
  <c r="C204" i="4"/>
  <c r="AH203" i="4"/>
  <c r="AG203" i="4"/>
  <c r="X203" i="4"/>
  <c r="V203" i="4"/>
  <c r="S203" i="4"/>
  <c r="J203" i="4"/>
  <c r="I203" i="4"/>
  <c r="H203" i="4"/>
  <c r="G203" i="4"/>
  <c r="F203" i="4"/>
  <c r="E203" i="4"/>
  <c r="D203" i="4"/>
  <c r="C203" i="4"/>
  <c r="AH202" i="4"/>
  <c r="AG202" i="4"/>
  <c r="X202" i="4"/>
  <c r="V202" i="4"/>
  <c r="S202" i="4"/>
  <c r="J202" i="4"/>
  <c r="I202" i="4"/>
  <c r="H202" i="4"/>
  <c r="G202" i="4"/>
  <c r="F202" i="4"/>
  <c r="E202" i="4"/>
  <c r="D202" i="4"/>
  <c r="C202" i="4"/>
  <c r="AH201" i="4"/>
  <c r="AG201" i="4"/>
  <c r="X201" i="4"/>
  <c r="V201" i="4"/>
  <c r="S201" i="4"/>
  <c r="J201" i="4"/>
  <c r="I201" i="4"/>
  <c r="H201" i="4"/>
  <c r="G201" i="4"/>
  <c r="F201" i="4"/>
  <c r="E201" i="4"/>
  <c r="D201" i="4"/>
  <c r="C201" i="4"/>
  <c r="U201" i="4" s="1"/>
  <c r="AH200" i="4"/>
  <c r="AG200" i="4"/>
  <c r="X200" i="4"/>
  <c r="V200" i="4"/>
  <c r="S200" i="4"/>
  <c r="J200" i="4"/>
  <c r="I200" i="4"/>
  <c r="H200" i="4"/>
  <c r="G200" i="4"/>
  <c r="F200" i="4"/>
  <c r="E200" i="4"/>
  <c r="D200" i="4"/>
  <c r="C200" i="4"/>
  <c r="AH199" i="4"/>
  <c r="AG199" i="4"/>
  <c r="X199" i="4"/>
  <c r="V199" i="4"/>
  <c r="S199" i="4"/>
  <c r="J199" i="4"/>
  <c r="I199" i="4"/>
  <c r="H199" i="4"/>
  <c r="G199" i="4"/>
  <c r="F199" i="4"/>
  <c r="E199" i="4"/>
  <c r="D199" i="4"/>
  <c r="C199" i="4"/>
  <c r="AH198" i="4"/>
  <c r="AG198" i="4"/>
  <c r="X198" i="4"/>
  <c r="V198" i="4"/>
  <c r="S198" i="4"/>
  <c r="J198" i="4"/>
  <c r="I198" i="4"/>
  <c r="H198" i="4"/>
  <c r="G198" i="4"/>
  <c r="F198" i="4"/>
  <c r="E198" i="4"/>
  <c r="D198" i="4"/>
  <c r="C198" i="4"/>
  <c r="U198" i="4" s="1"/>
  <c r="AH197" i="4"/>
  <c r="AG197" i="4"/>
  <c r="X197" i="4"/>
  <c r="V197" i="4"/>
  <c r="S197" i="4"/>
  <c r="J197" i="4"/>
  <c r="I197" i="4"/>
  <c r="H197" i="4"/>
  <c r="G197" i="4"/>
  <c r="F197" i="4"/>
  <c r="E197" i="4"/>
  <c r="D197" i="4"/>
  <c r="C197" i="4"/>
  <c r="AH196" i="4"/>
  <c r="AG196" i="4"/>
  <c r="X196" i="4"/>
  <c r="V196" i="4"/>
  <c r="S196" i="4"/>
  <c r="J196" i="4"/>
  <c r="I196" i="4"/>
  <c r="H196" i="4"/>
  <c r="G196" i="4"/>
  <c r="F196" i="4"/>
  <c r="E196" i="4"/>
  <c r="D196" i="4"/>
  <c r="C196" i="4"/>
  <c r="AH195" i="4"/>
  <c r="AG195" i="4"/>
  <c r="X195" i="4"/>
  <c r="V195" i="4"/>
  <c r="S195" i="4"/>
  <c r="J195" i="4"/>
  <c r="I195" i="4"/>
  <c r="H195" i="4"/>
  <c r="G195" i="4"/>
  <c r="F195" i="4"/>
  <c r="E195" i="4"/>
  <c r="D195" i="4"/>
  <c r="C195" i="4"/>
  <c r="AH194" i="4"/>
  <c r="AG194" i="4"/>
  <c r="X194" i="4"/>
  <c r="V194" i="4"/>
  <c r="S194" i="4"/>
  <c r="J194" i="4"/>
  <c r="I194" i="4"/>
  <c r="H194" i="4"/>
  <c r="G194" i="4"/>
  <c r="F194" i="4"/>
  <c r="E194" i="4"/>
  <c r="D194" i="4"/>
  <c r="C194" i="4"/>
  <c r="U194" i="4" s="1"/>
  <c r="AH193" i="4"/>
  <c r="AG193" i="4"/>
  <c r="X193" i="4"/>
  <c r="V193" i="4"/>
  <c r="S193" i="4"/>
  <c r="J193" i="4"/>
  <c r="I193" i="4"/>
  <c r="H193" i="4"/>
  <c r="G193" i="4"/>
  <c r="F193" i="4"/>
  <c r="E193" i="4"/>
  <c r="D193" i="4"/>
  <c r="C193" i="4"/>
  <c r="U193" i="4" s="1"/>
  <c r="AH192" i="4"/>
  <c r="AG192" i="4"/>
  <c r="X192" i="4"/>
  <c r="V192" i="4"/>
  <c r="S192" i="4"/>
  <c r="J192" i="4"/>
  <c r="I192" i="4"/>
  <c r="H192" i="4"/>
  <c r="G192" i="4"/>
  <c r="F192" i="4"/>
  <c r="E192" i="4"/>
  <c r="D192" i="4"/>
  <c r="C192" i="4"/>
  <c r="AH191" i="4"/>
  <c r="AG191" i="4"/>
  <c r="X191" i="4"/>
  <c r="V191" i="4"/>
  <c r="S191" i="4"/>
  <c r="J191" i="4"/>
  <c r="I191" i="4"/>
  <c r="H191" i="4"/>
  <c r="G191" i="4"/>
  <c r="F191" i="4"/>
  <c r="E191" i="4"/>
  <c r="D191" i="4"/>
  <c r="C191" i="4"/>
  <c r="AH190" i="4"/>
  <c r="AG190" i="4"/>
  <c r="X187" i="4"/>
  <c r="V187" i="4"/>
  <c r="S187" i="4"/>
  <c r="J187" i="4"/>
  <c r="I187" i="4"/>
  <c r="H187" i="4"/>
  <c r="G187" i="4"/>
  <c r="F187" i="4"/>
  <c r="E187" i="4"/>
  <c r="D187" i="4"/>
  <c r="C187" i="4"/>
  <c r="AH189" i="4"/>
  <c r="AG189" i="4"/>
  <c r="X190" i="4"/>
  <c r="V190" i="4"/>
  <c r="S190" i="4"/>
  <c r="J190" i="4"/>
  <c r="I190" i="4"/>
  <c r="H190" i="4"/>
  <c r="G190" i="4"/>
  <c r="F190" i="4"/>
  <c r="E190" i="4"/>
  <c r="D190" i="4"/>
  <c r="C190" i="4"/>
  <c r="AH188" i="4"/>
  <c r="AG188" i="4"/>
  <c r="X189" i="4"/>
  <c r="V189" i="4"/>
  <c r="S189" i="4"/>
  <c r="J189" i="4"/>
  <c r="I189" i="4"/>
  <c r="H189" i="4"/>
  <c r="G189" i="4"/>
  <c r="F189" i="4"/>
  <c r="E189" i="4"/>
  <c r="D189" i="4"/>
  <c r="C189" i="4"/>
  <c r="AH187" i="4"/>
  <c r="AG187" i="4"/>
  <c r="X186" i="4"/>
  <c r="V186" i="4"/>
  <c r="S186" i="4"/>
  <c r="J186" i="4"/>
  <c r="I186" i="4"/>
  <c r="H186" i="4"/>
  <c r="G186" i="4"/>
  <c r="F186" i="4"/>
  <c r="E186" i="4"/>
  <c r="D186" i="4"/>
  <c r="C186" i="4"/>
  <c r="AH186" i="4"/>
  <c r="AG186" i="4"/>
  <c r="X188" i="4"/>
  <c r="V188" i="4"/>
  <c r="S188" i="4"/>
  <c r="J188" i="4"/>
  <c r="I188" i="4"/>
  <c r="H188" i="4"/>
  <c r="G188" i="4"/>
  <c r="F188" i="4"/>
  <c r="E188" i="4"/>
  <c r="D188" i="4"/>
  <c r="C188" i="4"/>
  <c r="AH185" i="4"/>
  <c r="AG185" i="4"/>
  <c r="X185" i="4"/>
  <c r="V185" i="4"/>
  <c r="S185" i="4"/>
  <c r="J185" i="4"/>
  <c r="I185" i="4"/>
  <c r="H185" i="4"/>
  <c r="G185" i="4"/>
  <c r="F185" i="4"/>
  <c r="E185" i="4"/>
  <c r="D185" i="4"/>
  <c r="C185" i="4"/>
  <c r="AH184" i="4"/>
  <c r="AG184" i="4"/>
  <c r="X184" i="4"/>
  <c r="V184" i="4"/>
  <c r="S184" i="4"/>
  <c r="J184" i="4"/>
  <c r="I184" i="4"/>
  <c r="H184" i="4"/>
  <c r="G184" i="4"/>
  <c r="F184" i="4"/>
  <c r="E184" i="4"/>
  <c r="D184" i="4"/>
  <c r="C184" i="4"/>
  <c r="U184" i="4" s="1"/>
  <c r="AH183" i="4"/>
  <c r="AG183" i="4"/>
  <c r="X182" i="4"/>
  <c r="V182" i="4"/>
  <c r="S182" i="4"/>
  <c r="J182" i="4"/>
  <c r="I182" i="4"/>
  <c r="H182" i="4"/>
  <c r="G182" i="4"/>
  <c r="F182" i="4"/>
  <c r="E182" i="4"/>
  <c r="D182" i="4"/>
  <c r="C182" i="4"/>
  <c r="U182" i="4" s="1"/>
  <c r="AH182" i="4"/>
  <c r="AG182" i="4"/>
  <c r="X183" i="4"/>
  <c r="V183" i="4"/>
  <c r="S183" i="4"/>
  <c r="J183" i="4"/>
  <c r="I183" i="4"/>
  <c r="H183" i="4"/>
  <c r="G183" i="4"/>
  <c r="F183" i="4"/>
  <c r="E183" i="4"/>
  <c r="D183" i="4"/>
  <c r="C183" i="4"/>
  <c r="U183" i="4" s="1"/>
  <c r="AH181" i="4"/>
  <c r="AG181" i="4"/>
  <c r="X181" i="4"/>
  <c r="V181" i="4"/>
  <c r="S181" i="4"/>
  <c r="J181" i="4"/>
  <c r="I181" i="4"/>
  <c r="H181" i="4"/>
  <c r="G181" i="4"/>
  <c r="F181" i="4"/>
  <c r="E181" i="4"/>
  <c r="D181" i="4"/>
  <c r="C181" i="4"/>
  <c r="AH180" i="4"/>
  <c r="AG180" i="4"/>
  <c r="X179" i="4"/>
  <c r="V179" i="4"/>
  <c r="S179" i="4"/>
  <c r="J179" i="4"/>
  <c r="I179" i="4"/>
  <c r="H179" i="4"/>
  <c r="G179" i="4"/>
  <c r="F179" i="4"/>
  <c r="E179" i="4"/>
  <c r="D179" i="4"/>
  <c r="C179" i="4"/>
  <c r="AH179" i="4"/>
  <c r="AG179" i="4"/>
  <c r="X180" i="4"/>
  <c r="V180" i="4"/>
  <c r="S180" i="4"/>
  <c r="J180" i="4"/>
  <c r="I180" i="4"/>
  <c r="H180" i="4"/>
  <c r="G180" i="4"/>
  <c r="F180" i="4"/>
  <c r="E180" i="4"/>
  <c r="D180" i="4"/>
  <c r="C180" i="4"/>
  <c r="AH178" i="4"/>
  <c r="AG178" i="4"/>
  <c r="X177" i="4"/>
  <c r="V177" i="4"/>
  <c r="U177" i="4"/>
  <c r="S177" i="4"/>
  <c r="J177" i="4"/>
  <c r="I177" i="4"/>
  <c r="H177" i="4"/>
  <c r="G177" i="4"/>
  <c r="F177" i="4"/>
  <c r="E177" i="4"/>
  <c r="D177" i="4"/>
  <c r="C177" i="4"/>
  <c r="AH177" i="4"/>
  <c r="AG177" i="4"/>
  <c r="X175" i="4"/>
  <c r="V175" i="4"/>
  <c r="S175" i="4"/>
  <c r="J175" i="4"/>
  <c r="I175" i="4"/>
  <c r="H175" i="4"/>
  <c r="G175" i="4"/>
  <c r="F175" i="4"/>
  <c r="E175" i="4"/>
  <c r="D175" i="4"/>
  <c r="C175" i="4"/>
  <c r="AH176" i="4"/>
  <c r="AG176" i="4"/>
  <c r="X174" i="4"/>
  <c r="V174" i="4"/>
  <c r="S174" i="4"/>
  <c r="J174" i="4"/>
  <c r="I174" i="4"/>
  <c r="H174" i="4"/>
  <c r="G174" i="4"/>
  <c r="F174" i="4"/>
  <c r="E174" i="4"/>
  <c r="D174" i="4"/>
  <c r="C174" i="4"/>
  <c r="AH175" i="4"/>
  <c r="AG175" i="4"/>
  <c r="X178" i="4"/>
  <c r="V178" i="4"/>
  <c r="S178" i="4"/>
  <c r="J178" i="4"/>
  <c r="I178" i="4"/>
  <c r="H178" i="4"/>
  <c r="G178" i="4"/>
  <c r="F178" i="4"/>
  <c r="E178" i="4"/>
  <c r="D178" i="4"/>
  <c r="C178" i="4"/>
  <c r="P178" i="4" s="1"/>
  <c r="AH174" i="4"/>
  <c r="AG174" i="4"/>
  <c r="X176" i="4"/>
  <c r="V176" i="4"/>
  <c r="S176" i="4"/>
  <c r="J176" i="4"/>
  <c r="I176" i="4"/>
  <c r="H176" i="4"/>
  <c r="G176" i="4"/>
  <c r="F176" i="4"/>
  <c r="E176" i="4"/>
  <c r="D176" i="4"/>
  <c r="C176" i="4"/>
  <c r="U176" i="4" s="1"/>
  <c r="AH173" i="4"/>
  <c r="AG173" i="4"/>
  <c r="X171" i="4"/>
  <c r="V171" i="4"/>
  <c r="S171" i="4"/>
  <c r="J171" i="4"/>
  <c r="I171" i="4"/>
  <c r="H171" i="4"/>
  <c r="G171" i="4"/>
  <c r="F171" i="4"/>
  <c r="T171" i="4" s="1"/>
  <c r="E171" i="4"/>
  <c r="R171" i="4" s="1"/>
  <c r="D171" i="4"/>
  <c r="C171" i="4"/>
  <c r="AH172" i="4"/>
  <c r="AG172" i="4"/>
  <c r="X173" i="4"/>
  <c r="V173" i="4"/>
  <c r="S173" i="4"/>
  <c r="J173" i="4"/>
  <c r="I173" i="4"/>
  <c r="H173" i="4"/>
  <c r="G173" i="4"/>
  <c r="F173" i="4"/>
  <c r="E173" i="4"/>
  <c r="D173" i="4"/>
  <c r="C173" i="4"/>
  <c r="AH171" i="4"/>
  <c r="AG171" i="4"/>
  <c r="X172" i="4"/>
  <c r="V172" i="4"/>
  <c r="S172" i="4"/>
  <c r="J172" i="4"/>
  <c r="I172" i="4"/>
  <c r="H172" i="4"/>
  <c r="G172" i="4"/>
  <c r="F172" i="4"/>
  <c r="E172" i="4"/>
  <c r="D172" i="4"/>
  <c r="C172" i="4"/>
  <c r="AH170" i="4"/>
  <c r="AG170" i="4"/>
  <c r="X170" i="4"/>
  <c r="V170" i="4"/>
  <c r="W170" i="4" s="1"/>
  <c r="S170" i="4"/>
  <c r="J170" i="4"/>
  <c r="I170" i="4"/>
  <c r="H170" i="4"/>
  <c r="G170" i="4"/>
  <c r="F170" i="4"/>
  <c r="E170" i="4"/>
  <c r="D170" i="4"/>
  <c r="C170" i="4"/>
  <c r="U170" i="4" s="1"/>
  <c r="AH169" i="4"/>
  <c r="AG169" i="4"/>
  <c r="X169" i="4"/>
  <c r="V169" i="4"/>
  <c r="S169" i="4"/>
  <c r="J169" i="4"/>
  <c r="I169" i="4"/>
  <c r="H169" i="4"/>
  <c r="G169" i="4"/>
  <c r="F169" i="4"/>
  <c r="E169" i="4"/>
  <c r="D169" i="4"/>
  <c r="C169" i="4"/>
  <c r="AH168" i="4"/>
  <c r="AG168" i="4"/>
  <c r="X164" i="4"/>
  <c r="V164" i="4"/>
  <c r="S164" i="4"/>
  <c r="J164" i="4"/>
  <c r="I164" i="4"/>
  <c r="H164" i="4"/>
  <c r="G164" i="4"/>
  <c r="F164" i="4"/>
  <c r="E164" i="4"/>
  <c r="D164" i="4"/>
  <c r="C164" i="4"/>
  <c r="AH167" i="4"/>
  <c r="AG167" i="4"/>
  <c r="X168" i="4"/>
  <c r="V168" i="4"/>
  <c r="S168" i="4"/>
  <c r="J168" i="4"/>
  <c r="I168" i="4"/>
  <c r="H168" i="4"/>
  <c r="G168" i="4"/>
  <c r="F168" i="4"/>
  <c r="E168" i="4"/>
  <c r="D168" i="4"/>
  <c r="C168" i="4"/>
  <c r="AH166" i="4"/>
  <c r="AG166" i="4"/>
  <c r="X166" i="4"/>
  <c r="V166" i="4"/>
  <c r="S166" i="4"/>
  <c r="J166" i="4"/>
  <c r="I166" i="4"/>
  <c r="H166" i="4"/>
  <c r="G166" i="4"/>
  <c r="F166" i="4"/>
  <c r="E166" i="4"/>
  <c r="D166" i="4"/>
  <c r="C166" i="4"/>
  <c r="AH165" i="4"/>
  <c r="AG165" i="4"/>
  <c r="X167" i="4"/>
  <c r="V167" i="4"/>
  <c r="S167" i="4"/>
  <c r="J167" i="4"/>
  <c r="I167" i="4"/>
  <c r="H167" i="4"/>
  <c r="G167" i="4"/>
  <c r="F167" i="4"/>
  <c r="E167" i="4"/>
  <c r="D167" i="4"/>
  <c r="C167" i="4"/>
  <c r="AH164" i="4"/>
  <c r="AG164" i="4"/>
  <c r="X165" i="4"/>
  <c r="V165" i="4"/>
  <c r="S165" i="4"/>
  <c r="J165" i="4"/>
  <c r="I165" i="4"/>
  <c r="H165" i="4"/>
  <c r="G165" i="4"/>
  <c r="F165" i="4"/>
  <c r="E165" i="4"/>
  <c r="D165" i="4"/>
  <c r="C165" i="4"/>
  <c r="U165" i="4" s="1"/>
  <c r="AH163" i="4"/>
  <c r="AG163" i="4"/>
  <c r="X163" i="4"/>
  <c r="V163" i="4"/>
  <c r="S163" i="4"/>
  <c r="J163" i="4"/>
  <c r="I163" i="4"/>
  <c r="H163" i="4"/>
  <c r="G163" i="4"/>
  <c r="F163" i="4"/>
  <c r="E163" i="4"/>
  <c r="D163" i="4"/>
  <c r="C163" i="4"/>
  <c r="U163" i="4" s="1"/>
  <c r="AH162" i="4"/>
  <c r="AG162" i="4"/>
  <c r="X159" i="4"/>
  <c r="V159" i="4"/>
  <c r="S159" i="4"/>
  <c r="J159" i="4"/>
  <c r="I159" i="4"/>
  <c r="H159" i="4"/>
  <c r="G159" i="4"/>
  <c r="F159" i="4"/>
  <c r="E159" i="4"/>
  <c r="D159" i="4"/>
  <c r="C159" i="4"/>
  <c r="AH161" i="4"/>
  <c r="AG161" i="4"/>
  <c r="X162" i="4"/>
  <c r="V162" i="4"/>
  <c r="S162" i="4"/>
  <c r="J162" i="4"/>
  <c r="I162" i="4"/>
  <c r="H162" i="4"/>
  <c r="G162" i="4"/>
  <c r="F162" i="4"/>
  <c r="E162" i="4"/>
  <c r="D162" i="4"/>
  <c r="C162" i="4"/>
  <c r="AH160" i="4"/>
  <c r="AG160" i="4"/>
  <c r="X161" i="4"/>
  <c r="V161" i="4"/>
  <c r="S161" i="4"/>
  <c r="J161" i="4"/>
  <c r="I161" i="4"/>
  <c r="H161" i="4"/>
  <c r="G161" i="4"/>
  <c r="F161" i="4"/>
  <c r="E161" i="4"/>
  <c r="D161" i="4"/>
  <c r="C161" i="4"/>
  <c r="AH159" i="4"/>
  <c r="AG159" i="4"/>
  <c r="X158" i="4"/>
  <c r="V158" i="4"/>
  <c r="S158" i="4"/>
  <c r="J158" i="4"/>
  <c r="I158" i="4"/>
  <c r="H158" i="4"/>
  <c r="G158" i="4"/>
  <c r="F158" i="4"/>
  <c r="E158" i="4"/>
  <c r="D158" i="4"/>
  <c r="C158" i="4"/>
  <c r="AH158" i="4"/>
  <c r="AG158" i="4"/>
  <c r="X160" i="4"/>
  <c r="V160" i="4"/>
  <c r="S160" i="4"/>
  <c r="J160" i="4"/>
  <c r="I160" i="4"/>
  <c r="H160" i="4"/>
  <c r="G160" i="4"/>
  <c r="F160" i="4"/>
  <c r="E160" i="4"/>
  <c r="D160" i="4"/>
  <c r="C160" i="4"/>
  <c r="AH157" i="4"/>
  <c r="AG157" i="4"/>
  <c r="X157" i="4"/>
  <c r="V157" i="4"/>
  <c r="S157" i="4"/>
  <c r="J157" i="4"/>
  <c r="I157" i="4"/>
  <c r="H157" i="4"/>
  <c r="G157" i="4"/>
  <c r="F157" i="4"/>
  <c r="E157" i="4"/>
  <c r="D157" i="4"/>
  <c r="C157" i="4"/>
  <c r="U157" i="4" s="1"/>
  <c r="AH156" i="4"/>
  <c r="AG156" i="4"/>
  <c r="X156" i="4"/>
  <c r="V156" i="4"/>
  <c r="S156" i="4"/>
  <c r="J156" i="4"/>
  <c r="I156" i="4"/>
  <c r="H156" i="4"/>
  <c r="G156" i="4"/>
  <c r="F156" i="4"/>
  <c r="E156" i="4"/>
  <c r="D156" i="4"/>
  <c r="C156" i="4"/>
  <c r="AH155" i="4"/>
  <c r="AG155" i="4"/>
  <c r="X151" i="4"/>
  <c r="V151" i="4"/>
  <c r="S151" i="4"/>
  <c r="J151" i="4"/>
  <c r="I151" i="4"/>
  <c r="H151" i="4"/>
  <c r="G151" i="4"/>
  <c r="F151" i="4"/>
  <c r="E151" i="4"/>
  <c r="D151" i="4"/>
  <c r="C151" i="4"/>
  <c r="U151" i="4" s="1"/>
  <c r="AH154" i="4"/>
  <c r="AG154" i="4"/>
  <c r="X155" i="4"/>
  <c r="V155" i="4"/>
  <c r="S155" i="4"/>
  <c r="J155" i="4"/>
  <c r="I155" i="4"/>
  <c r="H155" i="4"/>
  <c r="G155" i="4"/>
  <c r="F155" i="4"/>
  <c r="E155" i="4"/>
  <c r="D155" i="4"/>
  <c r="C155" i="4"/>
  <c r="AH153" i="4"/>
  <c r="AG153" i="4"/>
  <c r="X154" i="4"/>
  <c r="V154" i="4"/>
  <c r="S154" i="4"/>
  <c r="J154" i="4"/>
  <c r="I154" i="4"/>
  <c r="H154" i="4"/>
  <c r="G154" i="4"/>
  <c r="F154" i="4"/>
  <c r="E154" i="4"/>
  <c r="D154" i="4"/>
  <c r="C154" i="4"/>
  <c r="T154" i="4" s="1"/>
  <c r="AH152" i="4"/>
  <c r="AG152" i="4"/>
  <c r="X153" i="4"/>
  <c r="V153" i="4"/>
  <c r="S153" i="4"/>
  <c r="J153" i="4"/>
  <c r="I153" i="4"/>
  <c r="H153" i="4"/>
  <c r="G153" i="4"/>
  <c r="F153" i="4"/>
  <c r="E153" i="4"/>
  <c r="D153" i="4"/>
  <c r="C153" i="4"/>
  <c r="AH151" i="4"/>
  <c r="AG151" i="4"/>
  <c r="X152" i="4"/>
  <c r="V152" i="4"/>
  <c r="S152" i="4"/>
  <c r="J152" i="4"/>
  <c r="I152" i="4"/>
  <c r="H152" i="4"/>
  <c r="G152" i="4"/>
  <c r="F152" i="4"/>
  <c r="E152" i="4"/>
  <c r="D152" i="4"/>
  <c r="C152" i="4"/>
  <c r="AH150" i="4"/>
  <c r="AG150" i="4"/>
  <c r="X149" i="4"/>
  <c r="V149" i="4"/>
  <c r="S149" i="4"/>
  <c r="J149" i="4"/>
  <c r="I149" i="4"/>
  <c r="H149" i="4"/>
  <c r="G149" i="4"/>
  <c r="F149" i="4"/>
  <c r="E149" i="4"/>
  <c r="D149" i="4"/>
  <c r="C149" i="4"/>
  <c r="AH149" i="4"/>
  <c r="AG149" i="4"/>
  <c r="X150" i="4"/>
  <c r="V150" i="4"/>
  <c r="S150" i="4"/>
  <c r="J150" i="4"/>
  <c r="I150" i="4"/>
  <c r="H150" i="4"/>
  <c r="G150" i="4"/>
  <c r="F150" i="4"/>
  <c r="E150" i="4"/>
  <c r="D150" i="4"/>
  <c r="C150" i="4"/>
  <c r="AH148" i="4"/>
  <c r="AG148" i="4"/>
  <c r="X147" i="4"/>
  <c r="V147" i="4"/>
  <c r="S147" i="4"/>
  <c r="J147" i="4"/>
  <c r="I147" i="4"/>
  <c r="H147" i="4"/>
  <c r="G147" i="4"/>
  <c r="F147" i="4"/>
  <c r="E147" i="4"/>
  <c r="D147" i="4"/>
  <c r="C147" i="4"/>
  <c r="AH147" i="4"/>
  <c r="AG147" i="4"/>
  <c r="X146" i="4"/>
  <c r="V146" i="4"/>
  <c r="S146" i="4"/>
  <c r="J146" i="4"/>
  <c r="I146" i="4"/>
  <c r="H146" i="4"/>
  <c r="G146" i="4"/>
  <c r="F146" i="4"/>
  <c r="E146" i="4"/>
  <c r="D146" i="4"/>
  <c r="C146" i="4"/>
  <c r="AH146" i="4"/>
  <c r="AG146" i="4"/>
  <c r="X148" i="4"/>
  <c r="V148" i="4"/>
  <c r="S148" i="4"/>
  <c r="J148" i="4"/>
  <c r="I148" i="4"/>
  <c r="H148" i="4"/>
  <c r="G148" i="4"/>
  <c r="F148" i="4"/>
  <c r="E148" i="4"/>
  <c r="Q148" i="4" s="1"/>
  <c r="D148" i="4"/>
  <c r="C148" i="4"/>
  <c r="AH145" i="4"/>
  <c r="AG145" i="4"/>
  <c r="X145" i="4"/>
  <c r="V145" i="4"/>
  <c r="S145" i="4"/>
  <c r="J145" i="4"/>
  <c r="I145" i="4"/>
  <c r="H145" i="4"/>
  <c r="G145" i="4"/>
  <c r="F145" i="4"/>
  <c r="E145" i="4"/>
  <c r="D145" i="4"/>
  <c r="C145" i="4"/>
  <c r="AH144" i="4"/>
  <c r="AG144" i="4"/>
  <c r="X144" i="4"/>
  <c r="V144" i="4"/>
  <c r="S144" i="4"/>
  <c r="J144" i="4"/>
  <c r="I144" i="4"/>
  <c r="H144" i="4"/>
  <c r="G144" i="4"/>
  <c r="F144" i="4"/>
  <c r="E144" i="4"/>
  <c r="D144" i="4"/>
  <c r="C144" i="4"/>
  <c r="AH143" i="4"/>
  <c r="AG143" i="4"/>
  <c r="X143" i="4"/>
  <c r="V143" i="4"/>
  <c r="S143" i="4"/>
  <c r="J143" i="4"/>
  <c r="I143" i="4"/>
  <c r="H143" i="4"/>
  <c r="G143" i="4"/>
  <c r="F143" i="4"/>
  <c r="E143" i="4"/>
  <c r="D143" i="4"/>
  <c r="C143" i="4"/>
  <c r="AH142" i="4"/>
  <c r="AG142" i="4"/>
  <c r="X141" i="4"/>
  <c r="V141" i="4"/>
  <c r="S141" i="4"/>
  <c r="J141" i="4"/>
  <c r="I141" i="4"/>
  <c r="H141" i="4"/>
  <c r="G141" i="4"/>
  <c r="F141" i="4"/>
  <c r="E141" i="4"/>
  <c r="D141" i="4"/>
  <c r="C141" i="4"/>
  <c r="AH141" i="4"/>
  <c r="AG141" i="4"/>
  <c r="X142" i="4"/>
  <c r="V142" i="4"/>
  <c r="S142" i="4"/>
  <c r="J142" i="4"/>
  <c r="I142" i="4"/>
  <c r="H142" i="4"/>
  <c r="G142" i="4"/>
  <c r="F142" i="4"/>
  <c r="E142" i="4"/>
  <c r="D142" i="4"/>
  <c r="C142" i="4"/>
  <c r="AH140" i="4"/>
  <c r="AG140" i="4"/>
  <c r="X140" i="4"/>
  <c r="V140" i="4"/>
  <c r="S140" i="4"/>
  <c r="J140" i="4"/>
  <c r="I140" i="4"/>
  <c r="H140" i="4"/>
  <c r="G140" i="4"/>
  <c r="F140" i="4"/>
  <c r="E140" i="4"/>
  <c r="D140" i="4"/>
  <c r="C140" i="4"/>
  <c r="AH139" i="4"/>
  <c r="AG139" i="4"/>
  <c r="X139" i="4"/>
  <c r="V139" i="4"/>
  <c r="S139" i="4"/>
  <c r="J139" i="4"/>
  <c r="I139" i="4"/>
  <c r="H139" i="4"/>
  <c r="G139" i="4"/>
  <c r="F139" i="4"/>
  <c r="E139" i="4"/>
  <c r="D139" i="4"/>
  <c r="C139" i="4"/>
  <c r="AH138" i="4"/>
  <c r="AG138" i="4"/>
  <c r="X138" i="4"/>
  <c r="V138" i="4"/>
  <c r="S138" i="4"/>
  <c r="J138" i="4"/>
  <c r="I138" i="4"/>
  <c r="H138" i="4"/>
  <c r="G138" i="4"/>
  <c r="F138" i="4"/>
  <c r="E138" i="4"/>
  <c r="D138" i="4"/>
  <c r="C138" i="4"/>
  <c r="AH137" i="4"/>
  <c r="AG137" i="4"/>
  <c r="X137" i="4"/>
  <c r="V137" i="4"/>
  <c r="S137" i="4"/>
  <c r="J137" i="4"/>
  <c r="I137" i="4"/>
  <c r="H137" i="4"/>
  <c r="G137" i="4"/>
  <c r="F137" i="4"/>
  <c r="E137" i="4"/>
  <c r="D137" i="4"/>
  <c r="C137" i="4"/>
  <c r="U137" i="4" s="1"/>
  <c r="AH136" i="4"/>
  <c r="AG136" i="4"/>
  <c r="X134" i="4"/>
  <c r="V134" i="4"/>
  <c r="S134" i="4"/>
  <c r="J134" i="4"/>
  <c r="I134" i="4"/>
  <c r="H134" i="4"/>
  <c r="G134" i="4"/>
  <c r="F134" i="4"/>
  <c r="E134" i="4"/>
  <c r="D134" i="4"/>
  <c r="C134" i="4"/>
  <c r="Q134" i="4" s="1"/>
  <c r="AH135" i="4"/>
  <c r="AG135" i="4"/>
  <c r="X136" i="4"/>
  <c r="V136" i="4"/>
  <c r="S136" i="4"/>
  <c r="J136" i="4"/>
  <c r="I136" i="4"/>
  <c r="H136" i="4"/>
  <c r="G136" i="4"/>
  <c r="F136" i="4"/>
  <c r="E136" i="4"/>
  <c r="D136" i="4"/>
  <c r="C136" i="4"/>
  <c r="AH134" i="4"/>
  <c r="AG134" i="4"/>
  <c r="X135" i="4"/>
  <c r="V135" i="4"/>
  <c r="S135" i="4"/>
  <c r="J135" i="4"/>
  <c r="I135" i="4"/>
  <c r="H135" i="4"/>
  <c r="G135" i="4"/>
  <c r="F135" i="4"/>
  <c r="E135" i="4"/>
  <c r="D135" i="4"/>
  <c r="C135" i="4"/>
  <c r="AH133" i="4"/>
  <c r="AG133" i="4"/>
  <c r="X132" i="4"/>
  <c r="V132" i="4"/>
  <c r="S132" i="4"/>
  <c r="J132" i="4"/>
  <c r="I132" i="4"/>
  <c r="H132" i="4"/>
  <c r="G132" i="4"/>
  <c r="F132" i="4"/>
  <c r="E132" i="4"/>
  <c r="D132" i="4"/>
  <c r="C132" i="4"/>
  <c r="AH132" i="4"/>
  <c r="AG132" i="4"/>
  <c r="X133" i="4"/>
  <c r="V133" i="4"/>
  <c r="S133" i="4"/>
  <c r="J133" i="4"/>
  <c r="I133" i="4"/>
  <c r="H133" i="4"/>
  <c r="G133" i="4"/>
  <c r="F133" i="4"/>
  <c r="E133" i="4"/>
  <c r="D133" i="4"/>
  <c r="C133" i="4"/>
  <c r="M133" i="4" s="1"/>
  <c r="AH131" i="4"/>
  <c r="AG131" i="4"/>
  <c r="X130" i="4"/>
  <c r="V130" i="4"/>
  <c r="S130" i="4"/>
  <c r="J130" i="4"/>
  <c r="I130" i="4"/>
  <c r="H130" i="4"/>
  <c r="G130" i="4"/>
  <c r="F130" i="4"/>
  <c r="E130" i="4"/>
  <c r="D130" i="4"/>
  <c r="C130" i="4"/>
  <c r="AH130" i="4"/>
  <c r="AG130" i="4"/>
  <c r="X128" i="4"/>
  <c r="V128" i="4"/>
  <c r="S128" i="4"/>
  <c r="J128" i="4"/>
  <c r="I128" i="4"/>
  <c r="H128" i="4"/>
  <c r="G128" i="4"/>
  <c r="F128" i="4"/>
  <c r="E128" i="4"/>
  <c r="D128" i="4"/>
  <c r="C128" i="4"/>
  <c r="AH129" i="4"/>
  <c r="AG129" i="4"/>
  <c r="X127" i="4"/>
  <c r="V127" i="4"/>
  <c r="S127" i="4"/>
  <c r="J127" i="4"/>
  <c r="I127" i="4"/>
  <c r="H127" i="4"/>
  <c r="G127" i="4"/>
  <c r="F127" i="4"/>
  <c r="E127" i="4"/>
  <c r="D127" i="4"/>
  <c r="C127" i="4"/>
  <c r="AH128" i="4"/>
  <c r="AG128" i="4"/>
  <c r="X126" i="4"/>
  <c r="V126" i="4"/>
  <c r="S126" i="4"/>
  <c r="J126" i="4"/>
  <c r="I126" i="4"/>
  <c r="H126" i="4"/>
  <c r="G126" i="4"/>
  <c r="F126" i="4"/>
  <c r="E126" i="4"/>
  <c r="D126" i="4"/>
  <c r="C126" i="4"/>
  <c r="U126" i="4" s="1"/>
  <c r="AH127" i="4"/>
  <c r="AG127" i="4"/>
  <c r="X131" i="4"/>
  <c r="V131" i="4"/>
  <c r="S131" i="4"/>
  <c r="J131" i="4"/>
  <c r="I131" i="4"/>
  <c r="H131" i="4"/>
  <c r="G131" i="4"/>
  <c r="F131" i="4"/>
  <c r="E131" i="4"/>
  <c r="D131" i="4"/>
  <c r="C131" i="4"/>
  <c r="AH126" i="4"/>
  <c r="AG126" i="4"/>
  <c r="X129" i="4"/>
  <c r="V129" i="4"/>
  <c r="S129" i="4"/>
  <c r="J129" i="4"/>
  <c r="I129" i="4"/>
  <c r="H129" i="4"/>
  <c r="G129" i="4"/>
  <c r="F129" i="4"/>
  <c r="E129" i="4"/>
  <c r="D129" i="4"/>
  <c r="C129" i="4"/>
  <c r="U129" i="4" s="1"/>
  <c r="AH125" i="4"/>
  <c r="AG125" i="4"/>
  <c r="X122" i="4"/>
  <c r="V122" i="4"/>
  <c r="S122" i="4"/>
  <c r="J122" i="4"/>
  <c r="I122" i="4"/>
  <c r="H122" i="4"/>
  <c r="G122" i="4"/>
  <c r="F122" i="4"/>
  <c r="E122" i="4"/>
  <c r="D122" i="4"/>
  <c r="C122" i="4"/>
  <c r="W122" i="4" s="1"/>
  <c r="AH124" i="4"/>
  <c r="AG124" i="4"/>
  <c r="X123" i="4"/>
  <c r="V123" i="4"/>
  <c r="S123" i="4"/>
  <c r="J123" i="4"/>
  <c r="I123" i="4"/>
  <c r="H123" i="4"/>
  <c r="G123" i="4"/>
  <c r="F123" i="4"/>
  <c r="E123" i="4"/>
  <c r="D123" i="4"/>
  <c r="C123" i="4"/>
  <c r="M123" i="4" s="1"/>
  <c r="AH123" i="4"/>
  <c r="AG123" i="4"/>
  <c r="X124" i="4"/>
  <c r="V124" i="4"/>
  <c r="S124" i="4"/>
  <c r="J124" i="4"/>
  <c r="I124" i="4"/>
  <c r="H124" i="4"/>
  <c r="G124" i="4"/>
  <c r="F124" i="4"/>
  <c r="E124" i="4"/>
  <c r="D124" i="4"/>
  <c r="C124" i="4"/>
  <c r="W124" i="4" s="1"/>
  <c r="AH122" i="4"/>
  <c r="AG122" i="4"/>
  <c r="X125" i="4"/>
  <c r="V125" i="4"/>
  <c r="S125" i="4"/>
  <c r="J125" i="4"/>
  <c r="I125" i="4"/>
  <c r="H125" i="4"/>
  <c r="G125" i="4"/>
  <c r="F125" i="4"/>
  <c r="E125" i="4"/>
  <c r="D125" i="4"/>
  <c r="C125" i="4"/>
  <c r="U125" i="4" s="1"/>
  <c r="AH121" i="4"/>
  <c r="AG121" i="4"/>
  <c r="X121" i="4"/>
  <c r="V121" i="4"/>
  <c r="S121" i="4"/>
  <c r="J121" i="4"/>
  <c r="I121" i="4"/>
  <c r="H121" i="4"/>
  <c r="G121" i="4"/>
  <c r="F121" i="4"/>
  <c r="E121" i="4"/>
  <c r="D121" i="4"/>
  <c r="C121" i="4"/>
  <c r="AH120" i="4"/>
  <c r="AG120" i="4"/>
  <c r="X120" i="4"/>
  <c r="V120" i="4"/>
  <c r="S120" i="4"/>
  <c r="J120" i="4"/>
  <c r="I120" i="4"/>
  <c r="H120" i="4"/>
  <c r="G120" i="4"/>
  <c r="F120" i="4"/>
  <c r="E120" i="4"/>
  <c r="R120" i="4" s="1"/>
  <c r="D120" i="4"/>
  <c r="C120" i="4"/>
  <c r="AH119" i="4"/>
  <c r="AG119" i="4"/>
  <c r="X119" i="4"/>
  <c r="V119" i="4"/>
  <c r="S119" i="4"/>
  <c r="J119" i="4"/>
  <c r="I119" i="4"/>
  <c r="H119" i="4"/>
  <c r="G119" i="4"/>
  <c r="F119" i="4"/>
  <c r="E119" i="4"/>
  <c r="D119" i="4"/>
  <c r="C119" i="4"/>
  <c r="AH118" i="4"/>
  <c r="AG118" i="4"/>
  <c r="X118" i="4"/>
  <c r="V118" i="4"/>
  <c r="S118" i="4"/>
  <c r="J118" i="4"/>
  <c r="I118" i="4"/>
  <c r="H118" i="4"/>
  <c r="G118" i="4"/>
  <c r="F118" i="4"/>
  <c r="E118" i="4"/>
  <c r="D118" i="4"/>
  <c r="C118" i="4"/>
  <c r="U118" i="4" s="1"/>
  <c r="AH117" i="4"/>
  <c r="AG117" i="4"/>
  <c r="X117" i="4"/>
  <c r="V117" i="4"/>
  <c r="S117" i="4"/>
  <c r="J117" i="4"/>
  <c r="I117" i="4"/>
  <c r="H117" i="4"/>
  <c r="G117" i="4"/>
  <c r="F117" i="4"/>
  <c r="E117" i="4"/>
  <c r="D117" i="4"/>
  <c r="C117" i="4"/>
  <c r="AH116" i="4"/>
  <c r="AG116" i="4"/>
  <c r="X113" i="4"/>
  <c r="V113" i="4"/>
  <c r="S113" i="4"/>
  <c r="J113" i="4"/>
  <c r="I113" i="4"/>
  <c r="H113" i="4"/>
  <c r="G113" i="4"/>
  <c r="F113" i="4"/>
  <c r="E113" i="4"/>
  <c r="D113" i="4"/>
  <c r="C113" i="4"/>
  <c r="U113" i="4" s="1"/>
  <c r="AH115" i="4"/>
  <c r="AG115" i="4"/>
  <c r="X116" i="4"/>
  <c r="V116" i="4"/>
  <c r="S116" i="4"/>
  <c r="J116" i="4"/>
  <c r="I116" i="4"/>
  <c r="H116" i="4"/>
  <c r="G116" i="4"/>
  <c r="F116" i="4"/>
  <c r="E116" i="4"/>
  <c r="D116" i="4"/>
  <c r="C116" i="4"/>
  <c r="AH114" i="4"/>
  <c r="AG114" i="4"/>
  <c r="X115" i="4"/>
  <c r="V115" i="4"/>
  <c r="S115" i="4"/>
  <c r="J115" i="4"/>
  <c r="I115" i="4"/>
  <c r="H115" i="4"/>
  <c r="G115" i="4"/>
  <c r="F115" i="4"/>
  <c r="E115" i="4"/>
  <c r="D115" i="4"/>
  <c r="C115" i="4"/>
  <c r="AH113" i="4"/>
  <c r="AG113" i="4"/>
  <c r="X114" i="4"/>
  <c r="V114" i="4"/>
  <c r="S114" i="4"/>
  <c r="J114" i="4"/>
  <c r="I114" i="4"/>
  <c r="H114" i="4"/>
  <c r="G114" i="4"/>
  <c r="F114" i="4"/>
  <c r="E114" i="4"/>
  <c r="D114" i="4"/>
  <c r="C114" i="4"/>
  <c r="AH112" i="4"/>
  <c r="AG112" i="4"/>
  <c r="X111" i="4"/>
  <c r="V111" i="4"/>
  <c r="S111" i="4"/>
  <c r="J111" i="4"/>
  <c r="I111" i="4"/>
  <c r="H111" i="4"/>
  <c r="G111" i="4"/>
  <c r="F111" i="4"/>
  <c r="E111" i="4"/>
  <c r="D111" i="4"/>
  <c r="C111" i="4"/>
  <c r="T111" i="4" s="1"/>
  <c r="AH111" i="4"/>
  <c r="AG111" i="4"/>
  <c r="X112" i="4"/>
  <c r="V112" i="4"/>
  <c r="S112" i="4"/>
  <c r="J112" i="4"/>
  <c r="I112" i="4"/>
  <c r="H112" i="4"/>
  <c r="G112" i="4"/>
  <c r="F112" i="4"/>
  <c r="E112" i="4"/>
  <c r="D112" i="4"/>
  <c r="C112" i="4"/>
  <c r="AH110" i="4"/>
  <c r="AG110" i="4"/>
  <c r="X110" i="4"/>
  <c r="V110" i="4"/>
  <c r="S110" i="4"/>
  <c r="J110" i="4"/>
  <c r="I110" i="4"/>
  <c r="H110" i="4"/>
  <c r="G110" i="4"/>
  <c r="F110" i="4"/>
  <c r="E110" i="4"/>
  <c r="D110" i="4"/>
  <c r="C110" i="4"/>
  <c r="AH109" i="4"/>
  <c r="AG109" i="4"/>
  <c r="X109" i="4"/>
  <c r="V109" i="4"/>
  <c r="S109" i="4"/>
  <c r="J109" i="4"/>
  <c r="I109" i="4"/>
  <c r="H109" i="4"/>
  <c r="G109" i="4"/>
  <c r="F109" i="4"/>
  <c r="E109" i="4"/>
  <c r="D109" i="4"/>
  <c r="C109" i="4"/>
  <c r="AH108" i="4"/>
  <c r="AG108" i="4"/>
  <c r="X107" i="4"/>
  <c r="V107" i="4"/>
  <c r="S107" i="4"/>
  <c r="J107" i="4"/>
  <c r="I107" i="4"/>
  <c r="H107" i="4"/>
  <c r="G107" i="4"/>
  <c r="F107" i="4"/>
  <c r="E107" i="4"/>
  <c r="D107" i="4"/>
  <c r="C107" i="4"/>
  <c r="AH107" i="4"/>
  <c r="AG107" i="4"/>
  <c r="X104" i="4"/>
  <c r="V104" i="4"/>
  <c r="S104" i="4"/>
  <c r="J104" i="4"/>
  <c r="I104" i="4"/>
  <c r="H104" i="4"/>
  <c r="G104" i="4"/>
  <c r="F104" i="4"/>
  <c r="E104" i="4"/>
  <c r="D104" i="4"/>
  <c r="C104" i="4"/>
  <c r="AH106" i="4"/>
  <c r="AG106" i="4"/>
  <c r="X106" i="4"/>
  <c r="V106" i="4"/>
  <c r="S106" i="4"/>
  <c r="J106" i="4"/>
  <c r="I106" i="4"/>
  <c r="H106" i="4"/>
  <c r="G106" i="4"/>
  <c r="F106" i="4"/>
  <c r="E106" i="4"/>
  <c r="D106" i="4"/>
  <c r="C106" i="4"/>
  <c r="AH105" i="4"/>
  <c r="AG105" i="4"/>
  <c r="X108" i="4"/>
  <c r="V108" i="4"/>
  <c r="S108" i="4"/>
  <c r="J108" i="4"/>
  <c r="I108" i="4"/>
  <c r="H108" i="4"/>
  <c r="G108" i="4"/>
  <c r="F108" i="4"/>
  <c r="E108" i="4"/>
  <c r="D108" i="4"/>
  <c r="C108" i="4"/>
  <c r="AH104" i="4"/>
  <c r="AG104" i="4"/>
  <c r="X105" i="4"/>
  <c r="V105" i="4"/>
  <c r="S105" i="4"/>
  <c r="J105" i="4"/>
  <c r="I105" i="4"/>
  <c r="H105" i="4"/>
  <c r="G105" i="4"/>
  <c r="F105" i="4"/>
  <c r="E105" i="4"/>
  <c r="D105" i="4"/>
  <c r="C105" i="4"/>
  <c r="U105" i="4" s="1"/>
  <c r="AH103" i="4"/>
  <c r="AG103" i="4"/>
  <c r="X102" i="4"/>
  <c r="V102" i="4"/>
  <c r="S102" i="4"/>
  <c r="J102" i="4"/>
  <c r="I102" i="4"/>
  <c r="H102" i="4"/>
  <c r="G102" i="4"/>
  <c r="F102" i="4"/>
  <c r="E102" i="4"/>
  <c r="D102" i="4"/>
  <c r="C102" i="4"/>
  <c r="AH102" i="4"/>
  <c r="AG102" i="4"/>
  <c r="X101" i="4"/>
  <c r="V101" i="4"/>
  <c r="S101" i="4"/>
  <c r="J101" i="4"/>
  <c r="I101" i="4"/>
  <c r="H101" i="4"/>
  <c r="G101" i="4"/>
  <c r="F101" i="4"/>
  <c r="E101" i="4"/>
  <c r="D101" i="4"/>
  <c r="C101" i="4"/>
  <c r="AH101" i="4"/>
  <c r="AG101" i="4"/>
  <c r="X100" i="4"/>
  <c r="V100" i="4"/>
  <c r="S100" i="4"/>
  <c r="J100" i="4"/>
  <c r="I100" i="4"/>
  <c r="H100" i="4"/>
  <c r="G100" i="4"/>
  <c r="F100" i="4"/>
  <c r="E100" i="4"/>
  <c r="D100" i="4"/>
  <c r="C100" i="4"/>
  <c r="AH100" i="4"/>
  <c r="AG100" i="4"/>
  <c r="X103" i="4"/>
  <c r="V103" i="4"/>
  <c r="S103" i="4"/>
  <c r="J103" i="4"/>
  <c r="I103" i="4"/>
  <c r="H103" i="4"/>
  <c r="G103" i="4"/>
  <c r="F103" i="4"/>
  <c r="E103" i="4"/>
  <c r="D103" i="4"/>
  <c r="C103" i="4"/>
  <c r="U103" i="4" s="1"/>
  <c r="AH99" i="4"/>
  <c r="AG99" i="4"/>
  <c r="X98" i="4"/>
  <c r="V98" i="4"/>
  <c r="S98" i="4"/>
  <c r="J98" i="4"/>
  <c r="I98" i="4"/>
  <c r="H98" i="4"/>
  <c r="G98" i="4"/>
  <c r="F98" i="4"/>
  <c r="E98" i="4"/>
  <c r="D98" i="4"/>
  <c r="C98" i="4"/>
  <c r="AH98" i="4"/>
  <c r="AG98" i="4"/>
  <c r="X99" i="4"/>
  <c r="V99" i="4"/>
  <c r="S99" i="4"/>
  <c r="J99" i="4"/>
  <c r="I99" i="4"/>
  <c r="H99" i="4"/>
  <c r="G99" i="4"/>
  <c r="F99" i="4"/>
  <c r="E99" i="4"/>
  <c r="D99" i="4"/>
  <c r="C99" i="4"/>
  <c r="AH97" i="4"/>
  <c r="AG97" i="4"/>
  <c r="X97" i="4"/>
  <c r="V97" i="4"/>
  <c r="S97" i="4"/>
  <c r="J97" i="4"/>
  <c r="I97" i="4"/>
  <c r="H97" i="4"/>
  <c r="G97" i="4"/>
  <c r="F97" i="4"/>
  <c r="E97" i="4"/>
  <c r="D97" i="4"/>
  <c r="C97" i="4"/>
  <c r="AH96" i="4"/>
  <c r="AG96" i="4"/>
  <c r="X95" i="4"/>
  <c r="V95" i="4"/>
  <c r="S95" i="4"/>
  <c r="J95" i="4"/>
  <c r="I95" i="4"/>
  <c r="H95" i="4"/>
  <c r="G95" i="4"/>
  <c r="F95" i="4"/>
  <c r="E95" i="4"/>
  <c r="D95" i="4"/>
  <c r="C95" i="4"/>
  <c r="AH95" i="4"/>
  <c r="AG95" i="4"/>
  <c r="X94" i="4"/>
  <c r="V94" i="4"/>
  <c r="S94" i="4"/>
  <c r="J94" i="4"/>
  <c r="I94" i="4"/>
  <c r="H94" i="4"/>
  <c r="G94" i="4"/>
  <c r="F94" i="4"/>
  <c r="E94" i="4"/>
  <c r="D94" i="4"/>
  <c r="C94" i="4"/>
  <c r="AH94" i="4"/>
  <c r="AG94" i="4"/>
  <c r="X96" i="4"/>
  <c r="V96" i="4"/>
  <c r="S96" i="4"/>
  <c r="J96" i="4"/>
  <c r="I96" i="4"/>
  <c r="H96" i="4"/>
  <c r="G96" i="4"/>
  <c r="F96" i="4"/>
  <c r="E96" i="4"/>
  <c r="D96" i="4"/>
  <c r="C96" i="4"/>
  <c r="AH93" i="4"/>
  <c r="AG93" i="4"/>
  <c r="X92" i="4"/>
  <c r="V92" i="4"/>
  <c r="S92" i="4"/>
  <c r="J92" i="4"/>
  <c r="I92" i="4"/>
  <c r="H92" i="4"/>
  <c r="G92" i="4"/>
  <c r="F92" i="4"/>
  <c r="E92" i="4"/>
  <c r="D92" i="4"/>
  <c r="C92" i="4"/>
  <c r="AH92" i="4"/>
  <c r="AG92" i="4"/>
  <c r="X93" i="4"/>
  <c r="V93" i="4"/>
  <c r="S93" i="4"/>
  <c r="J93" i="4"/>
  <c r="I93" i="4"/>
  <c r="H93" i="4"/>
  <c r="G93" i="4"/>
  <c r="F93" i="4"/>
  <c r="E93" i="4"/>
  <c r="D93" i="4"/>
  <c r="C93" i="4"/>
  <c r="AH91" i="4"/>
  <c r="AG91" i="4"/>
  <c r="X91" i="4"/>
  <c r="V91" i="4"/>
  <c r="S91" i="4"/>
  <c r="J91" i="4"/>
  <c r="I91" i="4"/>
  <c r="H91" i="4"/>
  <c r="G91" i="4"/>
  <c r="F91" i="4"/>
  <c r="E91" i="4"/>
  <c r="D91" i="4"/>
  <c r="C91" i="4"/>
  <c r="U91" i="4" s="1"/>
  <c r="AH90" i="4"/>
  <c r="AG90" i="4"/>
  <c r="X90" i="4"/>
  <c r="V90" i="4"/>
  <c r="S90" i="4"/>
  <c r="J90" i="4"/>
  <c r="I90" i="4"/>
  <c r="H90" i="4"/>
  <c r="G90" i="4"/>
  <c r="F90" i="4"/>
  <c r="E90" i="4"/>
  <c r="D90" i="4"/>
  <c r="C90" i="4"/>
  <c r="AH89" i="4"/>
  <c r="AG89" i="4"/>
  <c r="X87" i="4"/>
  <c r="V87" i="4"/>
  <c r="S87" i="4"/>
  <c r="J87" i="4"/>
  <c r="I87" i="4"/>
  <c r="H87" i="4"/>
  <c r="G87" i="4"/>
  <c r="F87" i="4"/>
  <c r="E87" i="4"/>
  <c r="D87" i="4"/>
  <c r="C87" i="4"/>
  <c r="AH88" i="4"/>
  <c r="AG88" i="4"/>
  <c r="X89" i="4"/>
  <c r="V89" i="4"/>
  <c r="S89" i="4"/>
  <c r="J89" i="4"/>
  <c r="I89" i="4"/>
  <c r="H89" i="4"/>
  <c r="G89" i="4"/>
  <c r="F89" i="4"/>
  <c r="E89" i="4"/>
  <c r="D89" i="4"/>
  <c r="C89" i="4"/>
  <c r="T89" i="4" s="1"/>
  <c r="AH87" i="4"/>
  <c r="AG87" i="4"/>
  <c r="X84" i="4"/>
  <c r="V84" i="4"/>
  <c r="S84" i="4"/>
  <c r="J84" i="4"/>
  <c r="I84" i="4"/>
  <c r="H84" i="4"/>
  <c r="G84" i="4"/>
  <c r="F84" i="4"/>
  <c r="E84" i="4"/>
  <c r="D84" i="4"/>
  <c r="C84" i="4"/>
  <c r="AH86" i="4"/>
  <c r="AG86" i="4"/>
  <c r="X88" i="4"/>
  <c r="V88" i="4"/>
  <c r="S88" i="4"/>
  <c r="J88" i="4"/>
  <c r="I88" i="4"/>
  <c r="H88" i="4"/>
  <c r="G88" i="4"/>
  <c r="F88" i="4"/>
  <c r="E88" i="4"/>
  <c r="D88" i="4"/>
  <c r="C88" i="4"/>
  <c r="U88" i="4" s="1"/>
  <c r="AH85" i="4"/>
  <c r="AG85" i="4"/>
  <c r="X86" i="4"/>
  <c r="V86" i="4"/>
  <c r="S86" i="4"/>
  <c r="J86" i="4"/>
  <c r="I86" i="4"/>
  <c r="H86" i="4"/>
  <c r="G86" i="4"/>
  <c r="F86" i="4"/>
  <c r="E86" i="4"/>
  <c r="D86" i="4"/>
  <c r="C86" i="4"/>
  <c r="AH84" i="4"/>
  <c r="AG84" i="4"/>
  <c r="X85" i="4"/>
  <c r="V85" i="4"/>
  <c r="S85" i="4"/>
  <c r="J85" i="4"/>
  <c r="I85" i="4"/>
  <c r="H85" i="4"/>
  <c r="G85" i="4"/>
  <c r="F85" i="4"/>
  <c r="E85" i="4"/>
  <c r="D85" i="4"/>
  <c r="C85" i="4"/>
  <c r="AH83" i="4"/>
  <c r="AG83" i="4"/>
  <c r="X83" i="4"/>
  <c r="V83" i="4"/>
  <c r="S83" i="4"/>
  <c r="J83" i="4"/>
  <c r="I83" i="4"/>
  <c r="H83" i="4"/>
  <c r="G83" i="4"/>
  <c r="F83" i="4"/>
  <c r="E83" i="4"/>
  <c r="D83" i="4"/>
  <c r="C83" i="4"/>
  <c r="AH82" i="4"/>
  <c r="AG82" i="4"/>
  <c r="X80" i="4"/>
  <c r="V80" i="4"/>
  <c r="S80" i="4"/>
  <c r="J80" i="4"/>
  <c r="I80" i="4"/>
  <c r="H80" i="4"/>
  <c r="G80" i="4"/>
  <c r="F80" i="4"/>
  <c r="E80" i="4"/>
  <c r="D80" i="4"/>
  <c r="C80" i="4"/>
  <c r="AH81" i="4"/>
  <c r="AG81" i="4"/>
  <c r="X81" i="4"/>
  <c r="V81" i="4"/>
  <c r="S81" i="4"/>
  <c r="J81" i="4"/>
  <c r="I81" i="4"/>
  <c r="H81" i="4"/>
  <c r="G81" i="4"/>
  <c r="F81" i="4"/>
  <c r="E81" i="4"/>
  <c r="D81" i="4"/>
  <c r="C81" i="4"/>
  <c r="AH80" i="4"/>
  <c r="AG80" i="4"/>
  <c r="X78" i="4"/>
  <c r="V78" i="4"/>
  <c r="S78" i="4"/>
  <c r="J78" i="4"/>
  <c r="I78" i="4"/>
  <c r="H78" i="4"/>
  <c r="G78" i="4"/>
  <c r="F78" i="4"/>
  <c r="E78" i="4"/>
  <c r="D78" i="4"/>
  <c r="C78" i="4"/>
  <c r="AH79" i="4"/>
  <c r="AG79" i="4"/>
  <c r="X82" i="4"/>
  <c r="V82" i="4"/>
  <c r="S82" i="4"/>
  <c r="J82" i="4"/>
  <c r="I82" i="4"/>
  <c r="H82" i="4"/>
  <c r="G82" i="4"/>
  <c r="F82" i="4"/>
  <c r="E82" i="4"/>
  <c r="D82" i="4"/>
  <c r="C82" i="4"/>
  <c r="U82" i="4" s="1"/>
  <c r="AH78" i="4"/>
  <c r="AG78" i="4"/>
  <c r="X77" i="4"/>
  <c r="V77" i="4"/>
  <c r="S77" i="4"/>
  <c r="J77" i="4"/>
  <c r="I77" i="4"/>
  <c r="H77" i="4"/>
  <c r="G77" i="4"/>
  <c r="F77" i="4"/>
  <c r="E77" i="4"/>
  <c r="D77" i="4"/>
  <c r="C77" i="4"/>
  <c r="U77" i="4" s="1"/>
  <c r="AH77" i="4"/>
  <c r="AG77" i="4"/>
  <c r="X79" i="4"/>
  <c r="V79" i="4"/>
  <c r="S79" i="4"/>
  <c r="J79" i="4"/>
  <c r="I79" i="4"/>
  <c r="H79" i="4"/>
  <c r="G79" i="4"/>
  <c r="F79" i="4"/>
  <c r="E79" i="4"/>
  <c r="D79" i="4"/>
  <c r="C79" i="4"/>
  <c r="AH76" i="4"/>
  <c r="AG76" i="4"/>
  <c r="X76" i="4"/>
  <c r="V76" i="4"/>
  <c r="S76" i="4"/>
  <c r="J76" i="4"/>
  <c r="I76" i="4"/>
  <c r="H76" i="4"/>
  <c r="G76" i="4"/>
  <c r="F76" i="4"/>
  <c r="E76" i="4"/>
  <c r="D76" i="4"/>
  <c r="C76" i="4"/>
  <c r="AH75" i="4"/>
  <c r="AG75" i="4"/>
  <c r="X75" i="4"/>
  <c r="V75" i="4"/>
  <c r="S75" i="4"/>
  <c r="J75" i="4"/>
  <c r="I75" i="4"/>
  <c r="H75" i="4"/>
  <c r="G75" i="4"/>
  <c r="F75" i="4"/>
  <c r="E75" i="4"/>
  <c r="D75" i="4"/>
  <c r="C75" i="4"/>
  <c r="AH74" i="4"/>
  <c r="AG74" i="4"/>
  <c r="X73" i="4"/>
  <c r="V73" i="4"/>
  <c r="S73" i="4"/>
  <c r="J73" i="4"/>
  <c r="I73" i="4"/>
  <c r="H73" i="4"/>
  <c r="G73" i="4"/>
  <c r="F73" i="4"/>
  <c r="E73" i="4"/>
  <c r="D73" i="4"/>
  <c r="C73" i="4"/>
  <c r="U73" i="4" s="1"/>
  <c r="AH73" i="4"/>
  <c r="AG73" i="4"/>
  <c r="X72" i="4"/>
  <c r="V72" i="4"/>
  <c r="S72" i="4"/>
  <c r="J72" i="4"/>
  <c r="I72" i="4"/>
  <c r="H72" i="4"/>
  <c r="G72" i="4"/>
  <c r="F72" i="4"/>
  <c r="E72" i="4"/>
  <c r="D72" i="4"/>
  <c r="C72" i="4"/>
  <c r="AH72" i="4"/>
  <c r="AG72" i="4"/>
  <c r="X74" i="4"/>
  <c r="V74" i="4"/>
  <c r="S74" i="4"/>
  <c r="J74" i="4"/>
  <c r="I74" i="4"/>
  <c r="H74" i="4"/>
  <c r="G74" i="4"/>
  <c r="F74" i="4"/>
  <c r="E74" i="4"/>
  <c r="D74" i="4"/>
  <c r="C74" i="4"/>
  <c r="AH71" i="4"/>
  <c r="AG71" i="4"/>
  <c r="X70" i="4"/>
  <c r="V70" i="4"/>
  <c r="S70" i="4"/>
  <c r="J70" i="4"/>
  <c r="I70" i="4"/>
  <c r="H70" i="4"/>
  <c r="G70" i="4"/>
  <c r="F70" i="4"/>
  <c r="E70" i="4"/>
  <c r="D70" i="4"/>
  <c r="C70" i="4"/>
  <c r="AH70" i="4"/>
  <c r="AG70" i="4"/>
  <c r="X71" i="4"/>
  <c r="V71" i="4"/>
  <c r="S71" i="4"/>
  <c r="J71" i="4"/>
  <c r="I71" i="4"/>
  <c r="H71" i="4"/>
  <c r="G71" i="4"/>
  <c r="F71" i="4"/>
  <c r="E71" i="4"/>
  <c r="D71" i="4"/>
  <c r="C71" i="4"/>
  <c r="AH69" i="4"/>
  <c r="AG69" i="4"/>
  <c r="X68" i="4"/>
  <c r="V68" i="4"/>
  <c r="S68" i="4"/>
  <c r="J68" i="4"/>
  <c r="I68" i="4"/>
  <c r="H68" i="4"/>
  <c r="G68" i="4"/>
  <c r="F68" i="4"/>
  <c r="E68" i="4"/>
  <c r="D68" i="4"/>
  <c r="C68" i="4"/>
  <c r="AH68" i="4"/>
  <c r="AG68" i="4"/>
  <c r="X67" i="4"/>
  <c r="V67" i="4"/>
  <c r="S67" i="4"/>
  <c r="J67" i="4"/>
  <c r="I67" i="4"/>
  <c r="H67" i="4"/>
  <c r="G67" i="4"/>
  <c r="F67" i="4"/>
  <c r="E67" i="4"/>
  <c r="D67" i="4"/>
  <c r="C67" i="4"/>
  <c r="AH67" i="4"/>
  <c r="AG67" i="4"/>
  <c r="X69" i="4"/>
  <c r="V69" i="4"/>
  <c r="S69" i="4"/>
  <c r="J69" i="4"/>
  <c r="I69" i="4"/>
  <c r="H69" i="4"/>
  <c r="G69" i="4"/>
  <c r="F69" i="4"/>
  <c r="E69" i="4"/>
  <c r="D69" i="4"/>
  <c r="C69" i="4"/>
  <c r="AH66" i="4"/>
  <c r="AG66" i="4"/>
  <c r="X65" i="4"/>
  <c r="V65" i="4"/>
  <c r="S65" i="4"/>
  <c r="J65" i="4"/>
  <c r="I65" i="4"/>
  <c r="H65" i="4"/>
  <c r="G65" i="4"/>
  <c r="F65" i="4"/>
  <c r="E65" i="4"/>
  <c r="D65" i="4"/>
  <c r="C65" i="4"/>
  <c r="AH65" i="4"/>
  <c r="AG65" i="4"/>
  <c r="X66" i="4"/>
  <c r="V66" i="4"/>
  <c r="S66" i="4"/>
  <c r="J66" i="4"/>
  <c r="I66" i="4"/>
  <c r="H66" i="4"/>
  <c r="G66" i="4"/>
  <c r="F66" i="4"/>
  <c r="E66" i="4"/>
  <c r="D66" i="4"/>
  <c r="C66" i="4"/>
  <c r="AH64" i="4"/>
  <c r="AG64" i="4"/>
  <c r="X64" i="4"/>
  <c r="V64" i="4"/>
  <c r="S64" i="4"/>
  <c r="J64" i="4"/>
  <c r="I64" i="4"/>
  <c r="H64" i="4"/>
  <c r="G64" i="4"/>
  <c r="F64" i="4"/>
  <c r="E64" i="4"/>
  <c r="D64" i="4"/>
  <c r="C64" i="4"/>
  <c r="AH63" i="4"/>
  <c r="AG63" i="4"/>
  <c r="X63" i="4"/>
  <c r="V63" i="4"/>
  <c r="S63" i="4"/>
  <c r="J63" i="4"/>
  <c r="I63" i="4"/>
  <c r="H63" i="4"/>
  <c r="G63" i="4"/>
  <c r="F63" i="4"/>
  <c r="E63" i="4"/>
  <c r="D63" i="4"/>
  <c r="C63" i="4"/>
  <c r="AH62" i="4"/>
  <c r="AG62" i="4"/>
  <c r="X60" i="4"/>
  <c r="V60" i="4"/>
  <c r="S60" i="4"/>
  <c r="J60" i="4"/>
  <c r="I60" i="4"/>
  <c r="H60" i="4"/>
  <c r="G60" i="4"/>
  <c r="F60" i="4"/>
  <c r="E60" i="4"/>
  <c r="D60" i="4"/>
  <c r="C60" i="4"/>
  <c r="AH61" i="4"/>
  <c r="AG61" i="4"/>
  <c r="X62" i="4"/>
  <c r="V62" i="4"/>
  <c r="S62" i="4"/>
  <c r="J62" i="4"/>
  <c r="I62" i="4"/>
  <c r="H62" i="4"/>
  <c r="G62" i="4"/>
  <c r="F62" i="4"/>
  <c r="E62" i="4"/>
  <c r="D62" i="4"/>
  <c r="C62" i="4"/>
  <c r="U62" i="4" s="1"/>
  <c r="AH60" i="4"/>
  <c r="AG60" i="4"/>
  <c r="X61" i="4"/>
  <c r="V61" i="4"/>
  <c r="S61" i="4"/>
  <c r="J61" i="4"/>
  <c r="I61" i="4"/>
  <c r="H61" i="4"/>
  <c r="G61" i="4"/>
  <c r="F61" i="4"/>
  <c r="E61" i="4"/>
  <c r="D61" i="4"/>
  <c r="C61" i="4"/>
  <c r="AH59" i="4"/>
  <c r="AG59" i="4"/>
  <c r="X59" i="4"/>
  <c r="V59" i="4"/>
  <c r="S59" i="4"/>
  <c r="J59" i="4"/>
  <c r="I59" i="4"/>
  <c r="H59" i="4"/>
  <c r="G59" i="4"/>
  <c r="F59" i="4"/>
  <c r="E59" i="4"/>
  <c r="D59" i="4"/>
  <c r="C59" i="4"/>
  <c r="AH58" i="4"/>
  <c r="AG58" i="4"/>
  <c r="X58" i="4"/>
  <c r="V58" i="4"/>
  <c r="S58" i="4"/>
  <c r="J58" i="4"/>
  <c r="I58" i="4"/>
  <c r="H58" i="4"/>
  <c r="G58" i="4"/>
  <c r="F58" i="4"/>
  <c r="E58" i="4"/>
  <c r="D58" i="4"/>
  <c r="C58" i="4"/>
  <c r="AH57" i="4"/>
  <c r="AG57" i="4"/>
  <c r="X56" i="4"/>
  <c r="V56" i="4"/>
  <c r="S56" i="4"/>
  <c r="J56" i="4"/>
  <c r="I56" i="4"/>
  <c r="H56" i="4"/>
  <c r="G56" i="4"/>
  <c r="F56" i="4"/>
  <c r="E56" i="4"/>
  <c r="D56" i="4"/>
  <c r="C56" i="4"/>
  <c r="AH56" i="4"/>
  <c r="AG56" i="4"/>
  <c r="X57" i="4"/>
  <c r="V57" i="4"/>
  <c r="S57" i="4"/>
  <c r="J57" i="4"/>
  <c r="I57" i="4"/>
  <c r="H57" i="4"/>
  <c r="G57" i="4"/>
  <c r="F57" i="4"/>
  <c r="E57" i="4"/>
  <c r="D57" i="4"/>
  <c r="C57" i="4"/>
  <c r="AH55" i="4"/>
  <c r="AG55" i="4"/>
  <c r="X55" i="4"/>
  <c r="V55" i="4"/>
  <c r="S55" i="4"/>
  <c r="J55" i="4"/>
  <c r="I55" i="4"/>
  <c r="H55" i="4"/>
  <c r="G55" i="4"/>
  <c r="F55" i="4"/>
  <c r="E55" i="4"/>
  <c r="D55" i="4"/>
  <c r="C55" i="4"/>
  <c r="AH54" i="4"/>
  <c r="AG54" i="4"/>
  <c r="X54" i="4"/>
  <c r="V54" i="4"/>
  <c r="S54" i="4"/>
  <c r="J54" i="4"/>
  <c r="I54" i="4"/>
  <c r="H54" i="4"/>
  <c r="G54" i="4"/>
  <c r="F54" i="4"/>
  <c r="E54" i="4"/>
  <c r="D54" i="4"/>
  <c r="C54" i="4"/>
  <c r="AH53" i="4"/>
  <c r="AG53" i="4"/>
  <c r="X51" i="4"/>
  <c r="V51" i="4"/>
  <c r="S51" i="4"/>
  <c r="J51" i="4"/>
  <c r="I51" i="4"/>
  <c r="H51" i="4"/>
  <c r="G51" i="4"/>
  <c r="F51" i="4"/>
  <c r="E51" i="4"/>
  <c r="D51" i="4"/>
  <c r="C51" i="4"/>
  <c r="AH52" i="4"/>
  <c r="AG52" i="4"/>
  <c r="X53" i="4"/>
  <c r="V53" i="4"/>
  <c r="S53" i="4"/>
  <c r="J53" i="4"/>
  <c r="I53" i="4"/>
  <c r="H53" i="4"/>
  <c r="G53" i="4"/>
  <c r="F53" i="4"/>
  <c r="E53" i="4"/>
  <c r="D53" i="4"/>
  <c r="C53" i="4"/>
  <c r="AH51" i="4"/>
  <c r="AG51" i="4"/>
  <c r="X52" i="4"/>
  <c r="V52" i="4"/>
  <c r="S52" i="4"/>
  <c r="J52" i="4"/>
  <c r="I52" i="4"/>
  <c r="H52" i="4"/>
  <c r="G52" i="4"/>
  <c r="F52" i="4"/>
  <c r="E52" i="4"/>
  <c r="D52" i="4"/>
  <c r="C52" i="4"/>
  <c r="AH50" i="4"/>
  <c r="AG50" i="4"/>
  <c r="X50" i="4"/>
  <c r="V50" i="4"/>
  <c r="S50" i="4"/>
  <c r="J50" i="4"/>
  <c r="I50" i="4"/>
  <c r="H50" i="4"/>
  <c r="G50" i="4"/>
  <c r="F50" i="4"/>
  <c r="E50" i="4"/>
  <c r="D50" i="4"/>
  <c r="C50" i="4"/>
  <c r="AH49" i="4"/>
  <c r="AG49" i="4"/>
  <c r="X49" i="4"/>
  <c r="V49" i="4"/>
  <c r="S49" i="4"/>
  <c r="J49" i="4"/>
  <c r="I49" i="4"/>
  <c r="H49" i="4"/>
  <c r="G49" i="4"/>
  <c r="F49" i="4"/>
  <c r="E49" i="4"/>
  <c r="D49" i="4"/>
  <c r="C49" i="4"/>
  <c r="AH48" i="4"/>
  <c r="AG48" i="4"/>
  <c r="X47" i="4"/>
  <c r="V47" i="4"/>
  <c r="S47" i="4"/>
  <c r="J47" i="4"/>
  <c r="I47" i="4"/>
  <c r="H47" i="4"/>
  <c r="G47" i="4"/>
  <c r="F47" i="4"/>
  <c r="E47" i="4"/>
  <c r="D47" i="4"/>
  <c r="C47" i="4"/>
  <c r="AH47" i="4"/>
  <c r="AG47" i="4"/>
  <c r="X48" i="4"/>
  <c r="V48" i="4"/>
  <c r="S48" i="4"/>
  <c r="J48" i="4"/>
  <c r="I48" i="4"/>
  <c r="H48" i="4"/>
  <c r="G48" i="4"/>
  <c r="F48" i="4"/>
  <c r="E48" i="4"/>
  <c r="D48" i="4"/>
  <c r="C48" i="4"/>
  <c r="AH46" i="4"/>
  <c r="AG46" i="4"/>
  <c r="X46" i="4"/>
  <c r="V46" i="4"/>
  <c r="S46" i="4"/>
  <c r="J46" i="4"/>
  <c r="I46" i="4"/>
  <c r="H46" i="4"/>
  <c r="G46" i="4"/>
  <c r="F46" i="4"/>
  <c r="E46" i="4"/>
  <c r="D46" i="4"/>
  <c r="C46" i="4"/>
  <c r="AH45" i="4"/>
  <c r="AG45" i="4"/>
  <c r="X45" i="4"/>
  <c r="V45" i="4"/>
  <c r="S45" i="4"/>
  <c r="J45" i="4"/>
  <c r="I45" i="4"/>
  <c r="H45" i="4"/>
  <c r="G45" i="4"/>
  <c r="F45" i="4"/>
  <c r="E45" i="4"/>
  <c r="D45" i="4"/>
  <c r="C45" i="4"/>
  <c r="AH44" i="4"/>
  <c r="AG44" i="4"/>
  <c r="X44" i="4"/>
  <c r="V44" i="4"/>
  <c r="S44" i="4"/>
  <c r="J44" i="4"/>
  <c r="I44" i="4"/>
  <c r="H44" i="4"/>
  <c r="G44" i="4"/>
  <c r="F44" i="4"/>
  <c r="E44" i="4"/>
  <c r="D44" i="4"/>
  <c r="C44" i="4"/>
  <c r="AH43" i="4"/>
  <c r="AG43" i="4"/>
  <c r="X43" i="4"/>
  <c r="V43" i="4"/>
  <c r="S43" i="4"/>
  <c r="J43" i="4"/>
  <c r="I43" i="4"/>
  <c r="H43" i="4"/>
  <c r="G43" i="4"/>
  <c r="F43" i="4"/>
  <c r="E43" i="4"/>
  <c r="D43" i="4"/>
  <c r="C43" i="4"/>
  <c r="T43" i="4" s="1"/>
  <c r="AH42" i="4"/>
  <c r="AG42" i="4"/>
  <c r="X42" i="4"/>
  <c r="V42" i="4"/>
  <c r="S42" i="4"/>
  <c r="J42" i="4"/>
  <c r="I42" i="4"/>
  <c r="H42" i="4"/>
  <c r="G42" i="4"/>
  <c r="F42" i="4"/>
  <c r="E42" i="4"/>
  <c r="D42" i="4"/>
  <c r="C42" i="4"/>
  <c r="AH41" i="4"/>
  <c r="AG41" i="4"/>
  <c r="X41" i="4"/>
  <c r="V41" i="4"/>
  <c r="S41" i="4"/>
  <c r="J41" i="4"/>
  <c r="I41" i="4"/>
  <c r="H41" i="4"/>
  <c r="G41" i="4"/>
  <c r="F41" i="4"/>
  <c r="E41" i="4"/>
  <c r="D41" i="4"/>
  <c r="C41" i="4"/>
  <c r="AH40" i="4"/>
  <c r="AG40" i="4"/>
  <c r="X36" i="4"/>
  <c r="V36" i="4"/>
  <c r="S36" i="4"/>
  <c r="J36" i="4"/>
  <c r="I36" i="4"/>
  <c r="H36" i="4"/>
  <c r="G36" i="4"/>
  <c r="F36" i="4"/>
  <c r="E36" i="4"/>
  <c r="D36" i="4"/>
  <c r="C36" i="4"/>
  <c r="U36" i="4" s="1"/>
  <c r="AH39" i="4"/>
  <c r="AG39" i="4"/>
  <c r="X40" i="4"/>
  <c r="V40" i="4"/>
  <c r="S40" i="4"/>
  <c r="J40" i="4"/>
  <c r="I40" i="4"/>
  <c r="H40" i="4"/>
  <c r="G40" i="4"/>
  <c r="F40" i="4"/>
  <c r="E40" i="4"/>
  <c r="D40" i="4"/>
  <c r="C40" i="4"/>
  <c r="AH38" i="4"/>
  <c r="AG38" i="4"/>
  <c r="X39" i="4"/>
  <c r="V39" i="4"/>
  <c r="S39" i="4"/>
  <c r="J39" i="4"/>
  <c r="I39" i="4"/>
  <c r="H39" i="4"/>
  <c r="G39" i="4"/>
  <c r="F39" i="4"/>
  <c r="E39" i="4"/>
  <c r="D39" i="4"/>
  <c r="C39" i="4"/>
  <c r="AH37" i="4"/>
  <c r="AG37" i="4"/>
  <c r="X38" i="4"/>
  <c r="V38" i="4"/>
  <c r="S38" i="4"/>
  <c r="J38" i="4"/>
  <c r="I38" i="4"/>
  <c r="H38" i="4"/>
  <c r="G38" i="4"/>
  <c r="F38" i="4"/>
  <c r="E38" i="4"/>
  <c r="D38" i="4"/>
  <c r="C38" i="4"/>
  <c r="AH36" i="4"/>
  <c r="AG36" i="4"/>
  <c r="X37" i="4"/>
  <c r="V37" i="4"/>
  <c r="S37" i="4"/>
  <c r="J37" i="4"/>
  <c r="I37" i="4"/>
  <c r="H37" i="4"/>
  <c r="G37" i="4"/>
  <c r="F37" i="4"/>
  <c r="E37" i="4"/>
  <c r="D37" i="4"/>
  <c r="C37" i="4"/>
  <c r="AH35" i="4"/>
  <c r="AG35" i="4"/>
  <c r="X35" i="4"/>
  <c r="V35" i="4"/>
  <c r="S35" i="4"/>
  <c r="J35" i="4"/>
  <c r="I35" i="4"/>
  <c r="H35" i="4"/>
  <c r="G35" i="4"/>
  <c r="F35" i="4"/>
  <c r="E35" i="4"/>
  <c r="D35" i="4"/>
  <c r="C35" i="4"/>
  <c r="AH34" i="4"/>
  <c r="AG34" i="4"/>
  <c r="X34" i="4"/>
  <c r="V34" i="4"/>
  <c r="S34" i="4"/>
  <c r="J34" i="4"/>
  <c r="I34" i="4"/>
  <c r="H34" i="4"/>
  <c r="G34" i="4"/>
  <c r="F34" i="4"/>
  <c r="E34" i="4"/>
  <c r="D34" i="4"/>
  <c r="C34" i="4"/>
  <c r="AH33" i="4"/>
  <c r="AG33" i="4"/>
  <c r="X33" i="4"/>
  <c r="V33" i="4"/>
  <c r="S33" i="4"/>
  <c r="J33" i="4"/>
  <c r="I33" i="4"/>
  <c r="H33" i="4"/>
  <c r="G33" i="4"/>
  <c r="F33" i="4"/>
  <c r="E33" i="4"/>
  <c r="D33" i="4"/>
  <c r="C33" i="4"/>
  <c r="AH32" i="4"/>
  <c r="AG32" i="4"/>
  <c r="X32" i="4"/>
  <c r="V32" i="4"/>
  <c r="S32" i="4"/>
  <c r="J32" i="4"/>
  <c r="I32" i="4"/>
  <c r="H32" i="4"/>
  <c r="G32" i="4"/>
  <c r="F32" i="4"/>
  <c r="E32" i="4"/>
  <c r="M32" i="4" s="1"/>
  <c r="D32" i="4"/>
  <c r="C32" i="4"/>
  <c r="AH31" i="4"/>
  <c r="AG31" i="4"/>
  <c r="X31" i="4"/>
  <c r="V31" i="4"/>
  <c r="S31" i="4"/>
  <c r="J31" i="4"/>
  <c r="I31" i="4"/>
  <c r="H31" i="4"/>
  <c r="G31" i="4"/>
  <c r="F31" i="4"/>
  <c r="E31" i="4"/>
  <c r="D31" i="4"/>
  <c r="C31" i="4"/>
  <c r="AH30" i="4"/>
  <c r="AG30" i="4"/>
  <c r="X30" i="4"/>
  <c r="V30" i="4"/>
  <c r="S30" i="4"/>
  <c r="J30" i="4"/>
  <c r="I30" i="4"/>
  <c r="H30" i="4"/>
  <c r="G30" i="4"/>
  <c r="F30" i="4"/>
  <c r="E30" i="4"/>
  <c r="D30" i="4"/>
  <c r="C30" i="4"/>
  <c r="AH29" i="4"/>
  <c r="AG29" i="4"/>
  <c r="X29" i="4"/>
  <c r="V29" i="4"/>
  <c r="S29" i="4"/>
  <c r="J29" i="4"/>
  <c r="I29" i="4"/>
  <c r="H29" i="4"/>
  <c r="G29" i="4"/>
  <c r="F29" i="4"/>
  <c r="E29" i="4"/>
  <c r="D29" i="4"/>
  <c r="C29" i="4"/>
  <c r="U29" i="4" s="1"/>
  <c r="AH28" i="4"/>
  <c r="AG28" i="4"/>
  <c r="X28" i="4"/>
  <c r="V28" i="4"/>
  <c r="S28" i="4"/>
  <c r="J28" i="4"/>
  <c r="I28" i="4"/>
  <c r="H28" i="4"/>
  <c r="G28" i="4"/>
  <c r="F28" i="4"/>
  <c r="E28" i="4"/>
  <c r="D28" i="4"/>
  <c r="C28" i="4"/>
  <c r="AH27" i="4"/>
  <c r="AG27" i="4"/>
  <c r="X27" i="4"/>
  <c r="V27" i="4"/>
  <c r="S27" i="4"/>
  <c r="J27" i="4"/>
  <c r="I27" i="4"/>
  <c r="H27" i="4"/>
  <c r="G27" i="4"/>
  <c r="F27" i="4"/>
  <c r="E27" i="4"/>
  <c r="D27" i="4"/>
  <c r="C27" i="4"/>
  <c r="AH26" i="4"/>
  <c r="AG26" i="4"/>
  <c r="X26" i="4"/>
  <c r="V26" i="4"/>
  <c r="S26" i="4"/>
  <c r="J26" i="4"/>
  <c r="I26" i="4"/>
  <c r="H26" i="4"/>
  <c r="G26" i="4"/>
  <c r="F26" i="4"/>
  <c r="E26" i="4"/>
  <c r="D26" i="4"/>
  <c r="C26" i="4"/>
  <c r="AH25" i="4"/>
  <c r="AG25" i="4"/>
  <c r="X25" i="4"/>
  <c r="V25" i="4"/>
  <c r="S25" i="4"/>
  <c r="J25" i="4"/>
  <c r="I25" i="4"/>
  <c r="H25" i="4"/>
  <c r="G25" i="4"/>
  <c r="F25" i="4"/>
  <c r="E25" i="4"/>
  <c r="D25" i="4"/>
  <c r="C25" i="4"/>
  <c r="AH24" i="4"/>
  <c r="AG24" i="4"/>
  <c r="X24" i="4"/>
  <c r="V24" i="4"/>
  <c r="S24" i="4"/>
  <c r="J24" i="4"/>
  <c r="I24" i="4"/>
  <c r="H24" i="4"/>
  <c r="G24" i="4"/>
  <c r="F24" i="4"/>
  <c r="E24" i="4"/>
  <c r="D24" i="4"/>
  <c r="C24" i="4"/>
  <c r="AH23" i="4"/>
  <c r="AG23" i="4"/>
  <c r="X23" i="4"/>
  <c r="V23" i="4"/>
  <c r="S23" i="4"/>
  <c r="J23" i="4"/>
  <c r="I23" i="4"/>
  <c r="H23" i="4"/>
  <c r="G23" i="4"/>
  <c r="F23" i="4"/>
  <c r="E23" i="4"/>
  <c r="D23" i="4"/>
  <c r="C23" i="4"/>
  <c r="AH22" i="4"/>
  <c r="AG22" i="4"/>
  <c r="X22" i="4"/>
  <c r="V22" i="4"/>
  <c r="S22" i="4"/>
  <c r="J22" i="4"/>
  <c r="I22" i="4"/>
  <c r="H22" i="4"/>
  <c r="G22" i="4"/>
  <c r="F22" i="4"/>
  <c r="E22" i="4"/>
  <c r="D22" i="4"/>
  <c r="C22" i="4"/>
  <c r="AH21" i="4"/>
  <c r="AG21" i="4"/>
  <c r="X21" i="4"/>
  <c r="V21" i="4"/>
  <c r="S21" i="4"/>
  <c r="J21" i="4"/>
  <c r="I21" i="4"/>
  <c r="H21" i="4"/>
  <c r="G21" i="4"/>
  <c r="F21" i="4"/>
  <c r="E21" i="4"/>
  <c r="D21" i="4"/>
  <c r="C21" i="4"/>
  <c r="U21" i="4" s="1"/>
  <c r="AH20" i="4"/>
  <c r="AG20" i="4"/>
  <c r="X20" i="4"/>
  <c r="V20" i="4"/>
  <c r="S20" i="4"/>
  <c r="J20" i="4"/>
  <c r="I20" i="4"/>
  <c r="H20" i="4"/>
  <c r="G20" i="4"/>
  <c r="F20" i="4"/>
  <c r="E20" i="4"/>
  <c r="D20" i="4"/>
  <c r="C20" i="4"/>
  <c r="AH19" i="4"/>
  <c r="AG19" i="4"/>
  <c r="X18" i="4"/>
  <c r="V18" i="4"/>
  <c r="S18" i="4"/>
  <c r="J18" i="4"/>
  <c r="I18" i="4"/>
  <c r="H18" i="4"/>
  <c r="G18" i="4"/>
  <c r="F18" i="4"/>
  <c r="E18" i="4"/>
  <c r="D18" i="4"/>
  <c r="C18" i="4"/>
  <c r="AH18" i="4"/>
  <c r="AG18" i="4"/>
  <c r="X19" i="4"/>
  <c r="V19" i="4"/>
  <c r="S19" i="4"/>
  <c r="J19" i="4"/>
  <c r="I19" i="4"/>
  <c r="H19" i="4"/>
  <c r="G19" i="4"/>
  <c r="F19" i="4"/>
  <c r="E19" i="4"/>
  <c r="D19" i="4"/>
  <c r="C19" i="4"/>
  <c r="U19" i="4" s="1"/>
  <c r="AH17" i="4"/>
  <c r="AG17" i="4"/>
  <c r="X17" i="4"/>
  <c r="V17" i="4"/>
  <c r="W17" i="4" s="1"/>
  <c r="S17" i="4"/>
  <c r="J17" i="4"/>
  <c r="I17" i="4"/>
  <c r="H17" i="4"/>
  <c r="G17" i="4"/>
  <c r="F17" i="4"/>
  <c r="E17" i="4"/>
  <c r="D17" i="4"/>
  <c r="C17" i="4"/>
  <c r="AH16" i="4"/>
  <c r="AG16" i="4"/>
  <c r="X16" i="4"/>
  <c r="V16" i="4"/>
  <c r="S16" i="4"/>
  <c r="J16" i="4"/>
  <c r="I16" i="4"/>
  <c r="H16" i="4"/>
  <c r="G16" i="4"/>
  <c r="F16" i="4"/>
  <c r="E16" i="4"/>
  <c r="D16" i="4"/>
  <c r="C16" i="4"/>
  <c r="AH15" i="4"/>
  <c r="AG15" i="4"/>
  <c r="X15" i="4"/>
  <c r="V15" i="4"/>
  <c r="S15" i="4"/>
  <c r="J15" i="4"/>
  <c r="I15" i="4"/>
  <c r="H15" i="4"/>
  <c r="G15" i="4"/>
  <c r="F15" i="4"/>
  <c r="E15" i="4"/>
  <c r="D15" i="4"/>
  <c r="C15" i="4"/>
  <c r="AH14" i="4"/>
  <c r="AG14" i="4"/>
  <c r="X14" i="4"/>
  <c r="V14" i="4"/>
  <c r="S14" i="4"/>
  <c r="J14" i="4"/>
  <c r="I14" i="4"/>
  <c r="H14" i="4"/>
  <c r="G14" i="4"/>
  <c r="F14" i="4"/>
  <c r="E14" i="4"/>
  <c r="D14" i="4"/>
  <c r="C14" i="4"/>
  <c r="AH13" i="4"/>
  <c r="AG13" i="4"/>
  <c r="X13" i="4"/>
  <c r="V13" i="4"/>
  <c r="S13" i="4"/>
  <c r="J13" i="4"/>
  <c r="I13" i="4"/>
  <c r="H13" i="4"/>
  <c r="G13" i="4"/>
  <c r="F13" i="4"/>
  <c r="E13" i="4"/>
  <c r="D13" i="4"/>
  <c r="C13" i="4"/>
  <c r="AH12" i="4"/>
  <c r="AG12" i="4"/>
  <c r="X12" i="4"/>
  <c r="V12" i="4"/>
  <c r="S12" i="4"/>
  <c r="J12" i="4"/>
  <c r="I12" i="4"/>
  <c r="H12" i="4"/>
  <c r="G12" i="4"/>
  <c r="F12" i="4"/>
  <c r="E12" i="4"/>
  <c r="D12" i="4"/>
  <c r="C12" i="4"/>
  <c r="AH11" i="4"/>
  <c r="AG11" i="4"/>
  <c r="X11" i="4"/>
  <c r="V11" i="4"/>
  <c r="S11" i="4"/>
  <c r="J11" i="4"/>
  <c r="I11" i="4"/>
  <c r="H11" i="4"/>
  <c r="G11" i="4"/>
  <c r="F11" i="4"/>
  <c r="E11" i="4"/>
  <c r="D11" i="4"/>
  <c r="C11" i="4"/>
  <c r="AH10" i="4"/>
  <c r="AG10" i="4"/>
  <c r="X9" i="4"/>
  <c r="V9" i="4"/>
  <c r="S9" i="4"/>
  <c r="J9" i="4"/>
  <c r="I9" i="4"/>
  <c r="H9" i="4"/>
  <c r="G9" i="4"/>
  <c r="F9" i="4"/>
  <c r="E9" i="4"/>
  <c r="D9" i="4"/>
  <c r="C9" i="4"/>
  <c r="U9" i="4" s="1"/>
  <c r="AH9" i="4"/>
  <c r="AG9" i="4"/>
  <c r="X10" i="4"/>
  <c r="V10" i="4"/>
  <c r="S10" i="4"/>
  <c r="J10" i="4"/>
  <c r="I10" i="4"/>
  <c r="H10" i="4"/>
  <c r="G10" i="4"/>
  <c r="F10" i="4"/>
  <c r="E10" i="4"/>
  <c r="D10" i="4"/>
  <c r="C10" i="4"/>
  <c r="U10" i="4" s="1"/>
  <c r="AH8" i="4"/>
  <c r="AG8" i="4"/>
  <c r="X8" i="4"/>
  <c r="V8" i="4"/>
  <c r="S8" i="4"/>
  <c r="J8" i="4"/>
  <c r="I8" i="4"/>
  <c r="H8" i="4"/>
  <c r="G8" i="4"/>
  <c r="F8" i="4"/>
  <c r="E8" i="4"/>
  <c r="D8" i="4"/>
  <c r="C8" i="4"/>
  <c r="U8" i="4" s="1"/>
  <c r="AH7" i="4"/>
  <c r="AG7" i="4"/>
  <c r="X7" i="4"/>
  <c r="V7" i="4"/>
  <c r="S7" i="4"/>
  <c r="J7" i="4"/>
  <c r="I7" i="4"/>
  <c r="H7" i="4"/>
  <c r="G7" i="4"/>
  <c r="F7" i="4"/>
  <c r="E7" i="4"/>
  <c r="D7" i="4"/>
  <c r="C7" i="4"/>
  <c r="AH6" i="4"/>
  <c r="AG6" i="4"/>
  <c r="X6" i="4"/>
  <c r="V6" i="4"/>
  <c r="S6" i="4"/>
  <c r="J6" i="4"/>
  <c r="I6" i="4"/>
  <c r="H6" i="4"/>
  <c r="G6" i="4"/>
  <c r="F6" i="4"/>
  <c r="E6" i="4"/>
  <c r="D6" i="4"/>
  <c r="C6" i="4"/>
  <c r="U6" i="4" s="1"/>
  <c r="AH5" i="4"/>
  <c r="AG5" i="4"/>
  <c r="X5" i="4"/>
  <c r="V5" i="4"/>
  <c r="S5" i="4"/>
  <c r="J5" i="4"/>
  <c r="I5" i="4"/>
  <c r="H5" i="4"/>
  <c r="G5" i="4"/>
  <c r="F5" i="4"/>
  <c r="E5" i="4"/>
  <c r="D5" i="4"/>
  <c r="C5" i="4"/>
  <c r="AH4" i="4"/>
  <c r="AG4" i="4"/>
  <c r="X4" i="4"/>
  <c r="V4" i="4"/>
  <c r="S4" i="4"/>
  <c r="J4" i="4"/>
  <c r="I4" i="4"/>
  <c r="H4" i="4"/>
  <c r="G4" i="4"/>
  <c r="F4" i="4"/>
  <c r="E4" i="4"/>
  <c r="D4" i="4"/>
  <c r="C4" i="4"/>
  <c r="AH3" i="4"/>
  <c r="AG3" i="4"/>
  <c r="X3" i="4"/>
  <c r="V3" i="4"/>
  <c r="S3" i="4"/>
  <c r="J3" i="4"/>
  <c r="I3" i="4"/>
  <c r="H3" i="4"/>
  <c r="G3" i="4"/>
  <c r="F3" i="4"/>
  <c r="E3" i="4"/>
  <c r="D3" i="4"/>
  <c r="C3" i="4"/>
  <c r="P3" i="4" s="1"/>
  <c r="D16" i="3"/>
  <c r="C16" i="3"/>
  <c r="B16" i="3"/>
  <c r="L15" i="3"/>
  <c r="D15" i="3"/>
  <c r="C15" i="3"/>
  <c r="B15" i="3"/>
  <c r="L14" i="3"/>
  <c r="D14" i="3"/>
  <c r="C14" i="3"/>
  <c r="B14" i="3"/>
  <c r="L13" i="3"/>
  <c r="B13" i="3"/>
  <c r="L12" i="3"/>
  <c r="G12" i="3"/>
  <c r="B12" i="3"/>
  <c r="L11" i="3"/>
  <c r="G11" i="3"/>
  <c r="B11" i="3"/>
  <c r="L10" i="3"/>
  <c r="G10" i="3"/>
  <c r="B10" i="3"/>
  <c r="M291" i="2"/>
  <c r="A291" i="2"/>
  <c r="M290" i="2"/>
  <c r="A290" i="2"/>
  <c r="M289" i="2"/>
  <c r="A289" i="2"/>
  <c r="M288" i="2"/>
  <c r="A288" i="2"/>
  <c r="M287" i="2"/>
  <c r="A287" i="2"/>
  <c r="M286" i="2"/>
  <c r="A286" i="2"/>
  <c r="M285" i="2"/>
  <c r="A285" i="2"/>
  <c r="M284" i="2"/>
  <c r="A284" i="2"/>
  <c r="M283" i="2"/>
  <c r="A283" i="2"/>
  <c r="M282" i="2"/>
  <c r="A282" i="2"/>
  <c r="M281" i="2"/>
  <c r="A281" i="2"/>
  <c r="M280" i="2"/>
  <c r="A280" i="2"/>
  <c r="M279" i="2"/>
  <c r="A279" i="2"/>
  <c r="M278" i="2"/>
  <c r="A278" i="2"/>
  <c r="M277" i="2"/>
  <c r="A277" i="2"/>
  <c r="M276" i="2"/>
  <c r="A276" i="2"/>
  <c r="M275" i="2"/>
  <c r="A275" i="2"/>
  <c r="M274" i="2"/>
  <c r="A274" i="2"/>
  <c r="M273" i="2"/>
  <c r="A273" i="2"/>
  <c r="M272" i="2"/>
  <c r="A272" i="2"/>
  <c r="M271" i="2"/>
  <c r="A271" i="2"/>
  <c r="M270" i="2"/>
  <c r="A270" i="2"/>
  <c r="M269" i="2"/>
  <c r="A269" i="2"/>
  <c r="M268" i="2"/>
  <c r="A268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M206" i="2"/>
  <c r="A206" i="2"/>
  <c r="M205" i="2"/>
  <c r="A205" i="2"/>
  <c r="M204" i="2"/>
  <c r="A204" i="2"/>
  <c r="M203" i="2"/>
  <c r="A203" i="2"/>
  <c r="M202" i="2"/>
  <c r="A202" i="2"/>
  <c r="M201" i="2"/>
  <c r="A201" i="2"/>
  <c r="M200" i="2"/>
  <c r="A200" i="2"/>
  <c r="M199" i="2"/>
  <c r="A199" i="2"/>
  <c r="M198" i="2"/>
  <c r="A198" i="2"/>
  <c r="M197" i="2"/>
  <c r="A197" i="2"/>
  <c r="M196" i="2"/>
  <c r="A196" i="2"/>
  <c r="M195" i="2"/>
  <c r="A195" i="2"/>
  <c r="M194" i="2"/>
  <c r="A194" i="2"/>
  <c r="M193" i="2"/>
  <c r="A193" i="2"/>
  <c r="M192" i="2"/>
  <c r="A192" i="2"/>
  <c r="M191" i="2"/>
  <c r="A191" i="2"/>
  <c r="M190" i="2"/>
  <c r="A190" i="2"/>
  <c r="M189" i="2"/>
  <c r="A189" i="2"/>
  <c r="M188" i="2"/>
  <c r="A188" i="2"/>
  <c r="M187" i="2"/>
  <c r="A187" i="2"/>
  <c r="M186" i="2"/>
  <c r="A186" i="2"/>
  <c r="M185" i="2"/>
  <c r="A185" i="2"/>
  <c r="M184" i="2"/>
  <c r="A184" i="2"/>
  <c r="M183" i="2"/>
  <c r="A183" i="2"/>
  <c r="M182" i="2"/>
  <c r="A182" i="2"/>
  <c r="M181" i="2"/>
  <c r="A181" i="2"/>
  <c r="M180" i="2"/>
  <c r="A180" i="2"/>
  <c r="M179" i="2"/>
  <c r="A179" i="2"/>
  <c r="M178" i="2"/>
  <c r="A178" i="2"/>
  <c r="M177" i="2"/>
  <c r="A177" i="2"/>
  <c r="M176" i="2"/>
  <c r="A176" i="2"/>
  <c r="M175" i="2"/>
  <c r="A175" i="2"/>
  <c r="M174" i="2"/>
  <c r="A174" i="2"/>
  <c r="M173" i="2"/>
  <c r="A173" i="2"/>
  <c r="M172" i="2"/>
  <c r="A172" i="2"/>
  <c r="M171" i="2"/>
  <c r="A171" i="2"/>
  <c r="M170" i="2"/>
  <c r="A170" i="2"/>
  <c r="M169" i="2"/>
  <c r="A169" i="2"/>
  <c r="M168" i="2"/>
  <c r="A168" i="2"/>
  <c r="M167" i="2"/>
  <c r="A167" i="2"/>
  <c r="M166" i="2"/>
  <c r="A166" i="2"/>
  <c r="M165" i="2"/>
  <c r="A165" i="2"/>
  <c r="M164" i="2"/>
  <c r="A164" i="2"/>
  <c r="M163" i="2"/>
  <c r="A163" i="2"/>
  <c r="M162" i="2"/>
  <c r="A162" i="2"/>
  <c r="M161" i="2"/>
  <c r="A161" i="2"/>
  <c r="M160" i="2"/>
  <c r="A160" i="2"/>
  <c r="M159" i="2"/>
  <c r="A159" i="2"/>
  <c r="M158" i="2"/>
  <c r="A158" i="2"/>
  <c r="M157" i="2"/>
  <c r="A157" i="2"/>
  <c r="M156" i="2"/>
  <c r="A156" i="2"/>
  <c r="M155" i="2"/>
  <c r="A155" i="2"/>
  <c r="M154" i="2"/>
  <c r="A154" i="2"/>
  <c r="M153" i="2"/>
  <c r="A153" i="2"/>
  <c r="M152" i="2"/>
  <c r="A152" i="2"/>
  <c r="M151" i="2"/>
  <c r="A151" i="2"/>
  <c r="M150" i="2"/>
  <c r="A150" i="2"/>
  <c r="M149" i="2"/>
  <c r="A149" i="2"/>
  <c r="M148" i="2"/>
  <c r="A148" i="2"/>
  <c r="M147" i="2"/>
  <c r="A147" i="2"/>
  <c r="M146" i="2"/>
  <c r="A146" i="2"/>
  <c r="M145" i="2"/>
  <c r="A145" i="2"/>
  <c r="M144" i="2"/>
  <c r="A144" i="2"/>
  <c r="M143" i="2"/>
  <c r="A143" i="2"/>
  <c r="M142" i="2"/>
  <c r="A142" i="2"/>
  <c r="M141" i="2"/>
  <c r="A141" i="2"/>
  <c r="M140" i="2"/>
  <c r="A140" i="2"/>
  <c r="M139" i="2"/>
  <c r="A139" i="2"/>
  <c r="M138" i="2"/>
  <c r="A138" i="2"/>
  <c r="M137" i="2"/>
  <c r="A137" i="2"/>
  <c r="M136" i="2"/>
  <c r="A136" i="2"/>
  <c r="M135" i="2"/>
  <c r="A135" i="2"/>
  <c r="M134" i="2"/>
  <c r="A134" i="2"/>
  <c r="M133" i="2"/>
  <c r="A133" i="2"/>
  <c r="M132" i="2"/>
  <c r="A132" i="2"/>
  <c r="M131" i="2"/>
  <c r="A131" i="2"/>
  <c r="M130" i="2"/>
  <c r="A130" i="2"/>
  <c r="M129" i="2"/>
  <c r="A129" i="2"/>
  <c r="M128" i="2"/>
  <c r="A128" i="2"/>
  <c r="M127" i="2"/>
  <c r="A127" i="2"/>
  <c r="M126" i="2"/>
  <c r="A126" i="2"/>
  <c r="M125" i="2"/>
  <c r="A125" i="2"/>
  <c r="M124" i="2"/>
  <c r="A124" i="2"/>
  <c r="M123" i="2"/>
  <c r="A123" i="2"/>
  <c r="M122" i="2"/>
  <c r="A122" i="2"/>
  <c r="M121" i="2"/>
  <c r="A121" i="2"/>
  <c r="M120" i="2"/>
  <c r="A120" i="2"/>
  <c r="M119" i="2"/>
  <c r="A119" i="2"/>
  <c r="M118" i="2"/>
  <c r="A118" i="2"/>
  <c r="M117" i="2"/>
  <c r="A117" i="2"/>
  <c r="M116" i="2"/>
  <c r="A116" i="2"/>
  <c r="M115" i="2"/>
  <c r="A115" i="2"/>
  <c r="M114" i="2"/>
  <c r="A114" i="2"/>
  <c r="M113" i="2"/>
  <c r="A113" i="2"/>
  <c r="M112" i="2"/>
  <c r="A112" i="2"/>
  <c r="M111" i="2"/>
  <c r="A111" i="2"/>
  <c r="M110" i="2"/>
  <c r="A110" i="2"/>
  <c r="M109" i="2"/>
  <c r="A109" i="2"/>
  <c r="M108" i="2"/>
  <c r="A108" i="2"/>
  <c r="M107" i="2"/>
  <c r="A107" i="2"/>
  <c r="M106" i="2"/>
  <c r="A106" i="2"/>
  <c r="M105" i="2"/>
  <c r="A105" i="2"/>
  <c r="M104" i="2"/>
  <c r="A104" i="2"/>
  <c r="M103" i="2"/>
  <c r="A103" i="2"/>
  <c r="M102" i="2"/>
  <c r="A102" i="2"/>
  <c r="M101" i="2"/>
  <c r="A101" i="2"/>
  <c r="M100" i="2"/>
  <c r="A100" i="2"/>
  <c r="M99" i="2"/>
  <c r="A99" i="2"/>
  <c r="M98" i="2"/>
  <c r="A98" i="2"/>
  <c r="M97" i="2"/>
  <c r="A97" i="2"/>
  <c r="M96" i="2"/>
  <c r="A96" i="2"/>
  <c r="M95" i="2"/>
  <c r="A95" i="2"/>
  <c r="M94" i="2"/>
  <c r="A94" i="2"/>
  <c r="M93" i="2"/>
  <c r="A93" i="2"/>
  <c r="M92" i="2"/>
  <c r="A92" i="2"/>
  <c r="M91" i="2"/>
  <c r="A91" i="2"/>
  <c r="M90" i="2"/>
  <c r="A90" i="2"/>
  <c r="M89" i="2"/>
  <c r="A89" i="2"/>
  <c r="M88" i="2"/>
  <c r="A88" i="2"/>
  <c r="M87" i="2"/>
  <c r="A87" i="2"/>
  <c r="M86" i="2"/>
  <c r="A86" i="2"/>
  <c r="M85" i="2"/>
  <c r="A85" i="2"/>
  <c r="M84" i="2"/>
  <c r="A84" i="2"/>
  <c r="M83" i="2"/>
  <c r="A83" i="2"/>
  <c r="M82" i="2"/>
  <c r="A82" i="2"/>
  <c r="M81" i="2"/>
  <c r="A81" i="2"/>
  <c r="M80" i="2"/>
  <c r="A80" i="2"/>
  <c r="M79" i="2"/>
  <c r="A79" i="2"/>
  <c r="M78" i="2"/>
  <c r="A78" i="2"/>
  <c r="M77" i="2"/>
  <c r="A77" i="2"/>
  <c r="M76" i="2"/>
  <c r="A76" i="2"/>
  <c r="M75" i="2"/>
  <c r="A75" i="2"/>
  <c r="M74" i="2"/>
  <c r="A74" i="2"/>
  <c r="M73" i="2"/>
  <c r="A73" i="2"/>
  <c r="M72" i="2"/>
  <c r="A72" i="2"/>
  <c r="M71" i="2"/>
  <c r="A71" i="2"/>
  <c r="M70" i="2"/>
  <c r="A70" i="2"/>
  <c r="M69" i="2"/>
  <c r="A69" i="2"/>
  <c r="M68" i="2"/>
  <c r="A68" i="2"/>
  <c r="M67" i="2"/>
  <c r="A67" i="2"/>
  <c r="M66" i="2"/>
  <c r="A66" i="2"/>
  <c r="M65" i="2"/>
  <c r="A65" i="2"/>
  <c r="M64" i="2"/>
  <c r="A64" i="2"/>
  <c r="M63" i="2"/>
  <c r="A63" i="2"/>
  <c r="M62" i="2"/>
  <c r="A62" i="2"/>
  <c r="M61" i="2"/>
  <c r="A61" i="2"/>
  <c r="M60" i="2"/>
  <c r="A60" i="2"/>
  <c r="M59" i="2"/>
  <c r="A59" i="2"/>
  <c r="M58" i="2"/>
  <c r="A58" i="2"/>
  <c r="M57" i="2"/>
  <c r="A57" i="2"/>
  <c r="M56" i="2"/>
  <c r="A56" i="2"/>
  <c r="M55" i="2"/>
  <c r="A55" i="2"/>
  <c r="M54" i="2"/>
  <c r="A54" i="2"/>
  <c r="M53" i="2"/>
  <c r="A53" i="2"/>
  <c r="M52" i="2"/>
  <c r="A52" i="2"/>
  <c r="M51" i="2"/>
  <c r="A51" i="2"/>
  <c r="M50" i="2"/>
  <c r="A50" i="2"/>
  <c r="M49" i="2"/>
  <c r="A49" i="2"/>
  <c r="M48" i="2"/>
  <c r="A48" i="2"/>
  <c r="M47" i="2"/>
  <c r="A47" i="2"/>
  <c r="M46" i="2"/>
  <c r="A46" i="2"/>
  <c r="M45" i="2"/>
  <c r="A45" i="2"/>
  <c r="M44" i="2"/>
  <c r="A44" i="2"/>
  <c r="M43" i="2"/>
  <c r="A43" i="2"/>
  <c r="M42" i="2"/>
  <c r="A42" i="2"/>
  <c r="M41" i="2"/>
  <c r="A41" i="2"/>
  <c r="M40" i="2"/>
  <c r="A40" i="2"/>
  <c r="M39" i="2"/>
  <c r="A39" i="2"/>
  <c r="M38" i="2"/>
  <c r="A38" i="2"/>
  <c r="M37" i="2"/>
  <c r="A37" i="2"/>
  <c r="M36" i="2"/>
  <c r="A36" i="2"/>
  <c r="M35" i="2"/>
  <c r="A35" i="2"/>
  <c r="M34" i="2"/>
  <c r="A34" i="2"/>
  <c r="M33" i="2"/>
  <c r="A33" i="2"/>
  <c r="M32" i="2"/>
  <c r="A32" i="2"/>
  <c r="M31" i="2"/>
  <c r="A31" i="2"/>
  <c r="M30" i="2"/>
  <c r="A30" i="2"/>
  <c r="M29" i="2"/>
  <c r="A29" i="2"/>
  <c r="M28" i="2"/>
  <c r="A28" i="2"/>
  <c r="M27" i="2"/>
  <c r="A27" i="2"/>
  <c r="M26" i="2"/>
  <c r="A26" i="2"/>
  <c r="M25" i="2"/>
  <c r="A25" i="2"/>
  <c r="M24" i="2"/>
  <c r="A24" i="2"/>
  <c r="M23" i="2"/>
  <c r="A23" i="2"/>
  <c r="M22" i="2"/>
  <c r="A22" i="2"/>
  <c r="M21" i="2"/>
  <c r="A21" i="2"/>
  <c r="M20" i="2"/>
  <c r="A20" i="2"/>
  <c r="M19" i="2"/>
  <c r="A19" i="2"/>
  <c r="M18" i="2"/>
  <c r="A18" i="2"/>
  <c r="M17" i="2"/>
  <c r="A17" i="2"/>
  <c r="M16" i="2"/>
  <c r="A16" i="2"/>
  <c r="M15" i="2"/>
  <c r="A15" i="2"/>
  <c r="M14" i="2"/>
  <c r="A14" i="2"/>
  <c r="M13" i="2"/>
  <c r="A13" i="2"/>
  <c r="M12" i="2"/>
  <c r="A12" i="2"/>
  <c r="M11" i="2"/>
  <c r="A11" i="2"/>
  <c r="M10" i="2"/>
  <c r="A10" i="2"/>
  <c r="M9" i="2"/>
  <c r="A9" i="2"/>
  <c r="M8" i="2"/>
  <c r="A8" i="2"/>
  <c r="M7" i="2"/>
  <c r="A7" i="2"/>
  <c r="M6" i="2"/>
  <c r="A6" i="2"/>
  <c r="M5" i="2"/>
  <c r="A5" i="2"/>
  <c r="M4" i="2"/>
  <c r="A4" i="2"/>
  <c r="W28" i="4" l="1"/>
  <c r="W37" i="4"/>
  <c r="Z37" i="4" s="1"/>
  <c r="W234" i="4"/>
  <c r="T44" i="4"/>
  <c r="T76" i="4"/>
  <c r="W120" i="4"/>
  <c r="R26" i="4"/>
  <c r="Q34" i="4"/>
  <c r="W119" i="4"/>
  <c r="W155" i="4"/>
  <c r="W205" i="4"/>
  <c r="Z205" i="4" s="1"/>
  <c r="P48" i="4"/>
  <c r="P70" i="4"/>
  <c r="T17" i="4"/>
  <c r="Q40" i="4"/>
  <c r="R41" i="4"/>
  <c r="M44" i="4"/>
  <c r="W53" i="4"/>
  <c r="Q197" i="4"/>
  <c r="A221" i="4"/>
  <c r="Z234" i="4"/>
  <c r="T180" i="4"/>
  <c r="AB233" i="4"/>
  <c r="A249" i="4"/>
  <c r="T162" i="4"/>
  <c r="T226" i="4"/>
  <c r="W193" i="4"/>
  <c r="Z193" i="4" s="1"/>
  <c r="P106" i="4"/>
  <c r="U111" i="4"/>
  <c r="T189" i="4"/>
  <c r="U230" i="4"/>
  <c r="B233" i="4"/>
  <c r="T261" i="4"/>
  <c r="T57" i="4"/>
  <c r="A237" i="4"/>
  <c r="U14" i="4"/>
  <c r="T85" i="4"/>
  <c r="P249" i="4"/>
  <c r="W5" i="4"/>
  <c r="N16" i="4"/>
  <c r="Q18" i="4"/>
  <c r="N35" i="4"/>
  <c r="T87" i="4"/>
  <c r="T164" i="4"/>
  <c r="T186" i="4"/>
  <c r="S3" i="3"/>
  <c r="T5" i="4"/>
  <c r="M13" i="4"/>
  <c r="N71" i="4"/>
  <c r="P96" i="4"/>
  <c r="P143" i="4"/>
  <c r="W148" i="4"/>
  <c r="Z148" i="4" s="1"/>
  <c r="N159" i="4"/>
  <c r="T163" i="4"/>
  <c r="M167" i="4"/>
  <c r="W140" i="4"/>
  <c r="Z140" i="4" s="1"/>
  <c r="W156" i="4"/>
  <c r="Z156" i="4" s="1"/>
  <c r="W181" i="4"/>
  <c r="Z181" i="4" s="1"/>
  <c r="B230" i="4"/>
  <c r="Z240" i="4"/>
  <c r="U47" i="4"/>
  <c r="U57" i="4"/>
  <c r="R230" i="4"/>
  <c r="N12" i="4"/>
  <c r="R92" i="4"/>
  <c r="W188" i="4"/>
  <c r="T191" i="4"/>
  <c r="B234" i="4"/>
  <c r="B244" i="4"/>
  <c r="U123" i="4"/>
  <c r="U213" i="4"/>
  <c r="T222" i="4"/>
  <c r="W55" i="4"/>
  <c r="Z55" i="4" s="1"/>
  <c r="N24" i="4"/>
  <c r="N43" i="4"/>
  <c r="R43" i="4"/>
  <c r="P61" i="4"/>
  <c r="U61" i="4"/>
  <c r="M67" i="4"/>
  <c r="R76" i="4"/>
  <c r="W99" i="4"/>
  <c r="Z99" i="4" s="1"/>
  <c r="U237" i="4"/>
  <c r="W116" i="4"/>
  <c r="N4" i="4"/>
  <c r="P7" i="4"/>
  <c r="W32" i="4"/>
  <c r="Y32" i="4" s="1"/>
  <c r="AC32" i="4" s="1"/>
  <c r="R39" i="4"/>
  <c r="N46" i="4"/>
  <c r="R56" i="4"/>
  <c r="R63" i="4"/>
  <c r="W72" i="4"/>
  <c r="Z72" i="4" s="1"/>
  <c r="T86" i="4"/>
  <c r="U93" i="4"/>
  <c r="W94" i="4"/>
  <c r="N99" i="4"/>
  <c r="W102" i="4"/>
  <c r="Z102" i="4" s="1"/>
  <c r="W112" i="4"/>
  <c r="P115" i="4"/>
  <c r="T118" i="4"/>
  <c r="W130" i="4"/>
  <c r="R168" i="4"/>
  <c r="P202" i="4"/>
  <c r="Q204" i="4"/>
  <c r="AC231" i="4"/>
  <c r="A233" i="4"/>
  <c r="AB245" i="4"/>
  <c r="Y249" i="4"/>
  <c r="A265" i="4"/>
  <c r="AB222" i="4"/>
  <c r="W126" i="4"/>
  <c r="Y126" i="4" s="1"/>
  <c r="AB221" i="4"/>
  <c r="R233" i="4"/>
  <c r="P234" i="4"/>
  <c r="R235" i="4"/>
  <c r="AC237" i="4"/>
  <c r="W240" i="4"/>
  <c r="AA244" i="4"/>
  <c r="A261" i="4"/>
  <c r="N20" i="4"/>
  <c r="P37" i="4"/>
  <c r="T36" i="4"/>
  <c r="N45" i="4"/>
  <c r="T51" i="4"/>
  <c r="W59" i="4"/>
  <c r="N77" i="4"/>
  <c r="W77" i="4"/>
  <c r="Z77" i="4" s="1"/>
  <c r="W88" i="4"/>
  <c r="T93" i="4"/>
  <c r="R114" i="4"/>
  <c r="W132" i="4"/>
  <c r="Q142" i="4"/>
  <c r="R153" i="4"/>
  <c r="T170" i="4"/>
  <c r="W177" i="4"/>
  <c r="W198" i="4"/>
  <c r="B226" i="4"/>
  <c r="O230" i="4"/>
  <c r="O249" i="4"/>
  <c r="P11" i="4"/>
  <c r="T12" i="4"/>
  <c r="W25" i="4"/>
  <c r="Y25" i="4" s="1"/>
  <c r="Q31" i="4"/>
  <c r="W57" i="4"/>
  <c r="Z57" i="4" s="1"/>
  <c r="R59" i="4"/>
  <c r="R69" i="4"/>
  <c r="R68" i="4"/>
  <c r="N179" i="4"/>
  <c r="R200" i="4"/>
  <c r="Q226" i="4"/>
  <c r="B231" i="4"/>
  <c r="Y124" i="4"/>
  <c r="P9" i="5"/>
  <c r="M75" i="4"/>
  <c r="N119" i="4"/>
  <c r="M193" i="4"/>
  <c r="N104" i="4"/>
  <c r="M190" i="4"/>
  <c r="M138" i="4"/>
  <c r="M161" i="4"/>
  <c r="P5" i="5"/>
  <c r="Q6" i="5" s="1"/>
  <c r="P8" i="5"/>
  <c r="Q5" i="5" s="1"/>
  <c r="L157" i="4" s="1"/>
  <c r="Q115" i="4"/>
  <c r="R154" i="4"/>
  <c r="U167" i="4"/>
  <c r="R204" i="4"/>
  <c r="P219" i="4"/>
  <c r="N223" i="4"/>
  <c r="O225" i="4"/>
  <c r="AB229" i="4"/>
  <c r="Y241" i="4"/>
  <c r="O246" i="4"/>
  <c r="AB253" i="4"/>
  <c r="B5" i="3"/>
  <c r="W8" i="4"/>
  <c r="N39" i="4"/>
  <c r="P39" i="4"/>
  <c r="W43" i="4"/>
  <c r="P52" i="4"/>
  <c r="R54" i="4"/>
  <c r="T55" i="4"/>
  <c r="N63" i="4"/>
  <c r="P63" i="4"/>
  <c r="Q65" i="4"/>
  <c r="T69" i="4"/>
  <c r="W75" i="4"/>
  <c r="W83" i="4"/>
  <c r="P94" i="4"/>
  <c r="T95" i="4"/>
  <c r="Q99" i="4"/>
  <c r="U99" i="4"/>
  <c r="R110" i="4"/>
  <c r="U110" i="4"/>
  <c r="W118" i="4"/>
  <c r="Y118" i="4" s="1"/>
  <c r="W121" i="4"/>
  <c r="T167" i="4"/>
  <c r="P164" i="4"/>
  <c r="Q169" i="4"/>
  <c r="P172" i="4"/>
  <c r="R177" i="4"/>
  <c r="U186" i="4"/>
  <c r="T208" i="4"/>
  <c r="W209" i="4"/>
  <c r="R219" i="4"/>
  <c r="B221" i="4"/>
  <c r="P223" i="4"/>
  <c r="R225" i="4"/>
  <c r="W226" i="4"/>
  <c r="B229" i="4"/>
  <c r="Q233" i="4"/>
  <c r="A234" i="4"/>
  <c r="M249" i="4"/>
  <c r="AC253" i="4"/>
  <c r="U259" i="4"/>
  <c r="B264" i="4"/>
  <c r="Q265" i="4"/>
  <c r="O253" i="4"/>
  <c r="U115" i="4"/>
  <c r="O229" i="4"/>
  <c r="W61" i="4"/>
  <c r="Z61" i="4" s="1"/>
  <c r="T68" i="4"/>
  <c r="Q106" i="4"/>
  <c r="T115" i="4"/>
  <c r="W115" i="4"/>
  <c r="Z115" i="4" s="1"/>
  <c r="T158" i="4"/>
  <c r="U197" i="4"/>
  <c r="N203" i="4"/>
  <c r="AC212" i="4"/>
  <c r="U218" i="4"/>
  <c r="U219" i="4"/>
  <c r="Q221" i="4"/>
  <c r="A222" i="4"/>
  <c r="AC222" i="4"/>
  <c r="M226" i="4"/>
  <c r="Z226" i="4"/>
  <c r="R229" i="4"/>
  <c r="N231" i="4"/>
  <c r="N234" i="4"/>
  <c r="P241" i="4"/>
  <c r="AC245" i="4"/>
  <c r="Q253" i="4"/>
  <c r="AB261" i="4"/>
  <c r="U134" i="4"/>
  <c r="U16" i="4"/>
  <c r="Q96" i="4"/>
  <c r="N115" i="4"/>
  <c r="R167" i="4"/>
  <c r="M241" i="4"/>
  <c r="W4" i="4"/>
  <c r="Z4" i="4" s="1"/>
  <c r="W29" i="4"/>
  <c r="T35" i="4"/>
  <c r="T75" i="4"/>
  <c r="M4" i="4"/>
  <c r="P15" i="4"/>
  <c r="Q15" i="4"/>
  <c r="M16" i="4"/>
  <c r="T25" i="4"/>
  <c r="U28" i="4"/>
  <c r="Q28" i="4"/>
  <c r="P31" i="4"/>
  <c r="T38" i="4"/>
  <c r="Q50" i="4"/>
  <c r="N59" i="4"/>
  <c r="P59" i="4"/>
  <c r="R61" i="4"/>
  <c r="P60" i="4"/>
  <c r="T63" i="4"/>
  <c r="T70" i="4"/>
  <c r="W80" i="4"/>
  <c r="Z80" i="4" s="1"/>
  <c r="R86" i="4"/>
  <c r="N96" i="4"/>
  <c r="U96" i="4"/>
  <c r="T97" i="4"/>
  <c r="T103" i="4"/>
  <c r="P102" i="4"/>
  <c r="T110" i="4"/>
  <c r="M111" i="4"/>
  <c r="T113" i="4"/>
  <c r="Q124" i="4"/>
  <c r="P123" i="4"/>
  <c r="W123" i="4"/>
  <c r="Y123" i="4" s="1"/>
  <c r="AC123" i="4" s="1"/>
  <c r="W127" i="4"/>
  <c r="U133" i="4"/>
  <c r="T138" i="4"/>
  <c r="Q150" i="4"/>
  <c r="W165" i="4"/>
  <c r="Z165" i="4" s="1"/>
  <c r="T168" i="4"/>
  <c r="P171" i="4"/>
  <c r="Q171" i="4"/>
  <c r="W176" i="4"/>
  <c r="W175" i="4"/>
  <c r="Y175" i="4" s="1"/>
  <c r="AB175" i="4" s="1"/>
  <c r="T177" i="4"/>
  <c r="M188" i="4"/>
  <c r="Q193" i="4"/>
  <c r="M197" i="4"/>
  <c r="B222" i="4"/>
  <c r="O226" i="4"/>
  <c r="A230" i="4"/>
  <c r="W230" i="4"/>
  <c r="O234" i="4"/>
  <c r="AC235" i="4"/>
  <c r="W264" i="4"/>
  <c r="U20" i="4"/>
  <c r="U4" i="4"/>
  <c r="W20" i="4"/>
  <c r="Z20" i="4" s="1"/>
  <c r="P35" i="4"/>
  <c r="P46" i="4"/>
  <c r="P75" i="4"/>
  <c r="T4" i="4"/>
  <c r="U12" i="4"/>
  <c r="T16" i="4"/>
  <c r="Q24" i="4"/>
  <c r="U25" i="4"/>
  <c r="R34" i="4"/>
  <c r="R37" i="4"/>
  <c r="P43" i="4"/>
  <c r="U44" i="4"/>
  <c r="M51" i="4"/>
  <c r="T61" i="4"/>
  <c r="U71" i="4"/>
  <c r="W90" i="4"/>
  <c r="Z90" i="4" s="1"/>
  <c r="W96" i="4"/>
  <c r="Y96" i="4" s="1"/>
  <c r="AC96" i="4" s="1"/>
  <c r="Q103" i="4"/>
  <c r="N106" i="4"/>
  <c r="P119" i="4"/>
  <c r="Q133" i="4"/>
  <c r="W133" i="4"/>
  <c r="Y133" i="4" s="1"/>
  <c r="AC133" i="4" s="1"/>
  <c r="M142" i="4"/>
  <c r="U161" i="4"/>
  <c r="N174" i="4"/>
  <c r="R190" i="4"/>
  <c r="P194" i="4"/>
  <c r="T196" i="4"/>
  <c r="W197" i="4"/>
  <c r="Y197" i="4" s="1"/>
  <c r="AC197" i="4" s="1"/>
  <c r="AB220" i="4"/>
  <c r="M222" i="4"/>
  <c r="AC223" i="4"/>
  <c r="Y225" i="4"/>
  <c r="Q245" i="4"/>
  <c r="T253" i="4"/>
  <c r="M20" i="4"/>
  <c r="P45" i="4"/>
  <c r="W201" i="4"/>
  <c r="Z201" i="4" s="1"/>
  <c r="N221" i="4"/>
  <c r="T34" i="4"/>
  <c r="Q55" i="4"/>
  <c r="R55" i="4"/>
  <c r="P69" i="4"/>
  <c r="T67" i="4"/>
  <c r="N95" i="4"/>
  <c r="P98" i="4"/>
  <c r="R108" i="4"/>
  <c r="W106" i="4"/>
  <c r="Z106" i="4" s="1"/>
  <c r="N112" i="4"/>
  <c r="P112" i="4"/>
  <c r="T153" i="4"/>
  <c r="T165" i="4"/>
  <c r="N173" i="4"/>
  <c r="Q173" i="4"/>
  <c r="T176" i="4"/>
  <c r="Q189" i="4"/>
  <c r="R189" i="4"/>
  <c r="W202" i="4"/>
  <c r="P205" i="4"/>
  <c r="Q205" i="4"/>
  <c r="A209" i="4"/>
  <c r="B213" i="4"/>
  <c r="T214" i="4"/>
  <c r="A225" i="4"/>
  <c r="AB225" i="4"/>
  <c r="M230" i="4"/>
  <c r="AB230" i="4"/>
  <c r="B235" i="4"/>
  <c r="O237" i="4"/>
  <c r="W241" i="4"/>
  <c r="Q244" i="4"/>
  <c r="W249" i="4"/>
  <c r="B260" i="4"/>
  <c r="Q261" i="4"/>
  <c r="M134" i="4"/>
  <c r="S4" i="3"/>
  <c r="C12" i="3" s="1"/>
  <c r="Y7" i="3"/>
  <c r="M15" i="3" s="1"/>
  <c r="M5" i="4"/>
  <c r="U5" i="4"/>
  <c r="K5" i="3"/>
  <c r="W10" i="4"/>
  <c r="Z10" i="4" s="1"/>
  <c r="M12" i="4"/>
  <c r="M17" i="4"/>
  <c r="W21" i="4"/>
  <c r="Y21" i="4" s="1"/>
  <c r="M24" i="4"/>
  <c r="Q27" i="4"/>
  <c r="R30" i="4"/>
  <c r="N37" i="4"/>
  <c r="N40" i="4"/>
  <c r="P40" i="4"/>
  <c r="W36" i="4"/>
  <c r="Z36" i="4" s="1"/>
  <c r="Q43" i="4"/>
  <c r="N44" i="4"/>
  <c r="T49" i="4"/>
  <c r="M64" i="4"/>
  <c r="W69" i="4"/>
  <c r="R71" i="4"/>
  <c r="W71" i="4"/>
  <c r="Z71" i="4" s="1"/>
  <c r="T81" i="4"/>
  <c r="U85" i="4"/>
  <c r="N93" i="4"/>
  <c r="Q93" i="4"/>
  <c r="U95" i="4"/>
  <c r="W98" i="4"/>
  <c r="W101" i="4"/>
  <c r="Z101" i="4" s="1"/>
  <c r="M107" i="4"/>
  <c r="P116" i="4"/>
  <c r="M137" i="4"/>
  <c r="W137" i="4"/>
  <c r="R161" i="4"/>
  <c r="W161" i="4"/>
  <c r="Z161" i="4" s="1"/>
  <c r="Q163" i="4"/>
  <c r="W163" i="4"/>
  <c r="Z163" i="4" s="1"/>
  <c r="W171" i="4"/>
  <c r="Y171" i="4" s="1"/>
  <c r="AA171" i="4" s="1"/>
  <c r="Q174" i="4"/>
  <c r="T174" i="4"/>
  <c r="P180" i="4"/>
  <c r="W183" i="4"/>
  <c r="U190" i="4"/>
  <c r="Q208" i="4"/>
  <c r="Z221" i="4"/>
  <c r="B223" i="4"/>
  <c r="B225" i="4"/>
  <c r="Y229" i="4"/>
  <c r="N235" i="4"/>
  <c r="N236" i="4"/>
  <c r="B238" i="4"/>
  <c r="T245" i="4"/>
  <c r="B246" i="4"/>
  <c r="A259" i="4"/>
  <c r="R260" i="4"/>
  <c r="Y59" i="4"/>
  <c r="AB59" i="4" s="1"/>
  <c r="Z59" i="4"/>
  <c r="Y4" i="3"/>
  <c r="M12" i="3" s="1"/>
  <c r="N8" i="4"/>
  <c r="P49" i="4"/>
  <c r="R50" i="4"/>
  <c r="P53" i="4"/>
  <c r="Q59" i="4"/>
  <c r="Q63" i="4"/>
  <c r="Q72" i="4"/>
  <c r="Q81" i="4"/>
  <c r="Q101" i="4"/>
  <c r="M105" i="4"/>
  <c r="T179" i="4"/>
  <c r="Q179" i="4"/>
  <c r="Q8" i="4"/>
  <c r="T10" i="4"/>
  <c r="T13" i="4"/>
  <c r="U17" i="4"/>
  <c r="R19" i="4"/>
  <c r="U24" i="4"/>
  <c r="N32" i="4"/>
  <c r="T37" i="4"/>
  <c r="R40" i="4"/>
  <c r="Q48" i="4"/>
  <c r="Q52" i="4"/>
  <c r="R53" i="4"/>
  <c r="N54" i="4"/>
  <c r="N55" i="4"/>
  <c r="T64" i="4"/>
  <c r="R72" i="4"/>
  <c r="M73" i="4"/>
  <c r="N76" i="4"/>
  <c r="R81" i="4"/>
  <c r="Q89" i="4"/>
  <c r="R87" i="4"/>
  <c r="N101" i="4"/>
  <c r="R101" i="4"/>
  <c r="N102" i="4"/>
  <c r="T108" i="4"/>
  <c r="P104" i="4"/>
  <c r="T107" i="4"/>
  <c r="P118" i="4"/>
  <c r="N143" i="4"/>
  <c r="N155" i="4"/>
  <c r="M151" i="4"/>
  <c r="U156" i="4"/>
  <c r="N172" i="4"/>
  <c r="N178" i="4"/>
  <c r="AB251" i="4"/>
  <c r="M251" i="4"/>
  <c r="A251" i="4"/>
  <c r="U251" i="4"/>
  <c r="T251" i="4"/>
  <c r="AC251" i="4"/>
  <c r="Q251" i="4"/>
  <c r="L251" i="4"/>
  <c r="Z257" i="4"/>
  <c r="W257" i="4"/>
  <c r="M257" i="4"/>
  <c r="U257" i="4"/>
  <c r="A257" i="4"/>
  <c r="T257" i="4"/>
  <c r="AC257" i="4"/>
  <c r="AB257" i="4"/>
  <c r="Q257" i="4"/>
  <c r="Y257" i="4"/>
  <c r="P257" i="4"/>
  <c r="O257" i="4"/>
  <c r="L257" i="4"/>
  <c r="AB263" i="4"/>
  <c r="M263" i="4"/>
  <c r="A263" i="4"/>
  <c r="U263" i="4"/>
  <c r="T263" i="4"/>
  <c r="AC263" i="4"/>
  <c r="Q263" i="4"/>
  <c r="L263" i="4"/>
  <c r="M9" i="4"/>
  <c r="R35" i="4"/>
  <c r="M47" i="4"/>
  <c r="Z53" i="4"/>
  <c r="Q60" i="4"/>
  <c r="M80" i="4"/>
  <c r="Q87" i="4"/>
  <c r="M90" i="4"/>
  <c r="R106" i="4"/>
  <c r="AC243" i="4"/>
  <c r="Y243" i="4"/>
  <c r="M243" i="4"/>
  <c r="A243" i="4"/>
  <c r="U243" i="4"/>
  <c r="T243" i="4"/>
  <c r="AB243" i="4"/>
  <c r="Q243" i="4"/>
  <c r="AA243" i="4"/>
  <c r="P243" i="4"/>
  <c r="H5" i="3"/>
  <c r="M8" i="4"/>
  <c r="M10" i="4"/>
  <c r="W12" i="4"/>
  <c r="U13" i="4"/>
  <c r="R14" i="4"/>
  <c r="W16" i="4"/>
  <c r="Z16" i="4" s="1"/>
  <c r="W24" i="4"/>
  <c r="Z24" i="4" s="1"/>
  <c r="Q32" i="4"/>
  <c r="P33" i="4"/>
  <c r="W35" i="4"/>
  <c r="U37" i="4"/>
  <c r="W44" i="4"/>
  <c r="Z44" i="4" s="1"/>
  <c r="T46" i="4"/>
  <c r="T48" i="4"/>
  <c r="R48" i="4"/>
  <c r="R47" i="4"/>
  <c r="T47" i="4"/>
  <c r="R49" i="4"/>
  <c r="T50" i="4"/>
  <c r="T52" i="4"/>
  <c r="R52" i="4"/>
  <c r="N53" i="4"/>
  <c r="P54" i="4"/>
  <c r="P55" i="4"/>
  <c r="M61" i="4"/>
  <c r="U64" i="4"/>
  <c r="N69" i="4"/>
  <c r="Q68" i="4"/>
  <c r="M71" i="4"/>
  <c r="Q73" i="4"/>
  <c r="Q76" i="4"/>
  <c r="U80" i="4"/>
  <c r="U89" i="4"/>
  <c r="N90" i="4"/>
  <c r="U90" i="4"/>
  <c r="P99" i="4"/>
  <c r="Q105" i="4"/>
  <c r="U106" i="4"/>
  <c r="U107" i="4"/>
  <c r="W110" i="4"/>
  <c r="Z110" i="4" s="1"/>
  <c r="Q118" i="4"/>
  <c r="W134" i="4"/>
  <c r="U148" i="4"/>
  <c r="P154" i="4"/>
  <c r="Q155" i="4"/>
  <c r="Q151" i="4"/>
  <c r="N163" i="4"/>
  <c r="P228" i="4"/>
  <c r="AA228" i="4"/>
  <c r="N228" i="4"/>
  <c r="Q11" i="4"/>
  <c r="N48" i="4"/>
  <c r="N52" i="4"/>
  <c r="P72" i="4"/>
  <c r="AA217" i="4"/>
  <c r="Z217" i="4"/>
  <c r="N217" i="4"/>
  <c r="B217" i="4"/>
  <c r="A217" i="4"/>
  <c r="T217" i="4"/>
  <c r="R217" i="4"/>
  <c r="AB217" i="4"/>
  <c r="Q217" i="4"/>
  <c r="R46" i="4"/>
  <c r="Q4" i="4"/>
  <c r="M6" i="4"/>
  <c r="T8" i="4"/>
  <c r="Q20" i="4"/>
  <c r="M21" i="4"/>
  <c r="N28" i="4"/>
  <c r="T40" i="4"/>
  <c r="N36" i="4"/>
  <c r="T53" i="4"/>
  <c r="T59" i="4"/>
  <c r="W63" i="4"/>
  <c r="Z63" i="4" s="1"/>
  <c r="W64" i="4"/>
  <c r="Z64" i="4" s="1"/>
  <c r="T72" i="4"/>
  <c r="P73" i="4"/>
  <c r="R73" i="4"/>
  <c r="U101" i="4"/>
  <c r="T105" i="4"/>
  <c r="W104" i="4"/>
  <c r="Y104" i="4" s="1"/>
  <c r="AC104" i="4" s="1"/>
  <c r="N118" i="4"/>
  <c r="R118" i="4"/>
  <c r="Q129" i="4"/>
  <c r="M140" i="4"/>
  <c r="P158" i="4"/>
  <c r="W158" i="4"/>
  <c r="Y158" i="4" s="1"/>
  <c r="U158" i="4"/>
  <c r="N158" i="4"/>
  <c r="Y217" i="4"/>
  <c r="Y130" i="4"/>
  <c r="AB130" i="4" s="1"/>
  <c r="U135" i="4"/>
  <c r="N153" i="4"/>
  <c r="W151" i="4"/>
  <c r="P160" i="4"/>
  <c r="N160" i="4"/>
  <c r="M163" i="4"/>
  <c r="P163" i="4"/>
  <c r="N187" i="4"/>
  <c r="W187" i="4"/>
  <c r="Z187" i="4" s="1"/>
  <c r="U187" i="4"/>
  <c r="M187" i="4"/>
  <c r="P239" i="4"/>
  <c r="AA239" i="4"/>
  <c r="A239" i="4"/>
  <c r="Y239" i="4"/>
  <c r="U239" i="4"/>
  <c r="M239" i="4"/>
  <c r="Q35" i="4"/>
  <c r="P101" i="4"/>
  <c r="Y6" i="3"/>
  <c r="M14" i="3" s="1"/>
  <c r="W13" i="4"/>
  <c r="Z13" i="4" s="1"/>
  <c r="P27" i="4"/>
  <c r="W48" i="4"/>
  <c r="Z48" i="4" s="1"/>
  <c r="W47" i="4"/>
  <c r="Z47" i="4" s="1"/>
  <c r="W52" i="4"/>
  <c r="Z52" i="4" s="1"/>
  <c r="U53" i="4"/>
  <c r="Q69" i="4"/>
  <c r="Q86" i="4"/>
  <c r="M88" i="4"/>
  <c r="R99" i="4"/>
  <c r="N98" i="4"/>
  <c r="P110" i="4"/>
  <c r="M113" i="4"/>
  <c r="U122" i="4"/>
  <c r="M126" i="4"/>
  <c r="S2" i="3"/>
  <c r="C10" i="3" s="1"/>
  <c r="T21" i="4"/>
  <c r="M28" i="4"/>
  <c r="T29" i="4"/>
  <c r="W40" i="4"/>
  <c r="Z40" i="4" s="1"/>
  <c r="R96" i="4"/>
  <c r="N94" i="4"/>
  <c r="Q110" i="4"/>
  <c r="R115" i="4"/>
  <c r="N116" i="4"/>
  <c r="U132" i="4"/>
  <c r="M132" i="4"/>
  <c r="R160" i="4"/>
  <c r="P169" i="4"/>
  <c r="W169" i="4"/>
  <c r="Z169" i="4" s="1"/>
  <c r="T169" i="4"/>
  <c r="R169" i="4"/>
  <c r="N169" i="4"/>
  <c r="P185" i="4"/>
  <c r="W185" i="4"/>
  <c r="Z185" i="4" s="1"/>
  <c r="U185" i="4"/>
  <c r="M185" i="4"/>
  <c r="Y251" i="4"/>
  <c r="AB255" i="4"/>
  <c r="M255" i="4"/>
  <c r="A255" i="4"/>
  <c r="U255" i="4"/>
  <c r="T255" i="4"/>
  <c r="AC255" i="4"/>
  <c r="Q255" i="4"/>
  <c r="L255" i="4"/>
  <c r="Y263" i="4"/>
  <c r="R44" i="4"/>
  <c r="Q46" i="4"/>
  <c r="Q12" i="4"/>
  <c r="Q16" i="4"/>
  <c r="R22" i="4"/>
  <c r="M29" i="4"/>
  <c r="P44" i="4"/>
  <c r="N57" i="4"/>
  <c r="W73" i="4"/>
  <c r="Z73" i="4" s="1"/>
  <c r="N88" i="4"/>
  <c r="N110" i="4"/>
  <c r="P126" i="4"/>
  <c r="W147" i="4"/>
  <c r="Y147" i="4" s="1"/>
  <c r="AC147" i="4" s="1"/>
  <c r="W152" i="4"/>
  <c r="U152" i="4"/>
  <c r="P152" i="4"/>
  <c r="M157" i="4"/>
  <c r="T175" i="4"/>
  <c r="R175" i="4"/>
  <c r="Q175" i="4"/>
  <c r="P175" i="4"/>
  <c r="T181" i="4"/>
  <c r="R181" i="4"/>
  <c r="Q181" i="4"/>
  <c r="P181" i="4"/>
  <c r="P187" i="4"/>
  <c r="AB210" i="4"/>
  <c r="AC210" i="4"/>
  <c r="N210" i="4"/>
  <c r="W210" i="4"/>
  <c r="U210" i="4"/>
  <c r="P210" i="4"/>
  <c r="O210" i="4"/>
  <c r="M210" i="4"/>
  <c r="M218" i="4"/>
  <c r="AC218" i="4"/>
  <c r="T218" i="4"/>
  <c r="B218" i="4"/>
  <c r="AB218" i="4"/>
  <c r="A218" i="4"/>
  <c r="Z218" i="4"/>
  <c r="R218" i="4"/>
  <c r="Y218" i="4"/>
  <c r="Q218" i="4"/>
  <c r="P218" i="4"/>
  <c r="W218" i="4"/>
  <c r="O218" i="4"/>
  <c r="L218" i="4"/>
  <c r="P201" i="4"/>
  <c r="M206" i="4"/>
  <c r="O209" i="4"/>
  <c r="Y209" i="4"/>
  <c r="M215" i="4"/>
  <c r="Z215" i="4"/>
  <c r="M227" i="4"/>
  <c r="Z227" i="4"/>
  <c r="O258" i="4"/>
  <c r="R170" i="4"/>
  <c r="R176" i="4"/>
  <c r="N180" i="4"/>
  <c r="Y193" i="4"/>
  <c r="AC193" i="4" s="1"/>
  <c r="W194" i="4"/>
  <c r="Q200" i="4"/>
  <c r="Q201" i="4"/>
  <c r="R205" i="4"/>
  <c r="N206" i="4"/>
  <c r="AC206" i="4"/>
  <c r="P209" i="4"/>
  <c r="Z209" i="4"/>
  <c r="AB213" i="4"/>
  <c r="N215" i="4"/>
  <c r="AC215" i="4"/>
  <c r="L220" i="4"/>
  <c r="O222" i="4"/>
  <c r="W222" i="4"/>
  <c r="U223" i="4"/>
  <c r="L225" i="4"/>
  <c r="W225" i="4"/>
  <c r="R226" i="4"/>
  <c r="AB226" i="4"/>
  <c r="N227" i="4"/>
  <c r="AC227" i="4"/>
  <c r="L229" i="4"/>
  <c r="W229" i="4"/>
  <c r="AC230" i="4"/>
  <c r="P231" i="4"/>
  <c r="T233" i="4"/>
  <c r="R234" i="4"/>
  <c r="AB234" i="4"/>
  <c r="P235" i="4"/>
  <c r="L237" i="4"/>
  <c r="AC238" i="4"/>
  <c r="B240" i="4"/>
  <c r="Q241" i="4"/>
  <c r="AB241" i="4"/>
  <c r="A245" i="4"/>
  <c r="U245" i="4"/>
  <c r="Z248" i="4"/>
  <c r="Q249" i="4"/>
  <c r="AB249" i="4"/>
  <c r="A253" i="4"/>
  <c r="U253" i="4"/>
  <c r="AA254" i="4"/>
  <c r="Z256" i="4"/>
  <c r="L259" i="4"/>
  <c r="Y259" i="4"/>
  <c r="B261" i="4"/>
  <c r="U261" i="4"/>
  <c r="AA262" i="4"/>
  <c r="W142" i="4"/>
  <c r="Y142" i="4" s="1"/>
  <c r="AA142" i="4" s="1"/>
  <c r="M147" i="4"/>
  <c r="P151" i="4"/>
  <c r="T161" i="4"/>
  <c r="U168" i="4"/>
  <c r="M172" i="4"/>
  <c r="T173" i="4"/>
  <c r="M178" i="4"/>
  <c r="T182" i="4"/>
  <c r="W190" i="4"/>
  <c r="Y190" i="4" s="1"/>
  <c r="AC190" i="4" s="1"/>
  <c r="P193" i="4"/>
  <c r="P197" i="4"/>
  <c r="M201" i="4"/>
  <c r="R201" i="4"/>
  <c r="T204" i="4"/>
  <c r="O206" i="4"/>
  <c r="Q209" i="4"/>
  <c r="AB214" i="4"/>
  <c r="P215" i="4"/>
  <c r="B219" i="4"/>
  <c r="N220" i="4"/>
  <c r="R221" i="4"/>
  <c r="P222" i="4"/>
  <c r="N225" i="4"/>
  <c r="A226" i="4"/>
  <c r="AC226" i="4"/>
  <c r="P227" i="4"/>
  <c r="N229" i="4"/>
  <c r="T230" i="4"/>
  <c r="R231" i="4"/>
  <c r="M237" i="4"/>
  <c r="W237" i="4"/>
  <c r="O240" i="4"/>
  <c r="AC241" i="4"/>
  <c r="L245" i="4"/>
  <c r="Z246" i="4"/>
  <c r="AC247" i="4"/>
  <c r="AC249" i="4"/>
  <c r="L253" i="4"/>
  <c r="M259" i="4"/>
  <c r="AB259" i="4"/>
  <c r="L261" i="4"/>
  <c r="Z264" i="4"/>
  <c r="T147" i="4"/>
  <c r="T151" i="4"/>
  <c r="T172" i="4"/>
  <c r="T178" i="4"/>
  <c r="U202" i="4"/>
  <c r="P206" i="4"/>
  <c r="AB208" i="4"/>
  <c r="R209" i="4"/>
  <c r="L212" i="4"/>
  <c r="R215" i="4"/>
  <c r="M219" i="4"/>
  <c r="Z219" i="4"/>
  <c r="P220" i="4"/>
  <c r="Q222" i="4"/>
  <c r="Y222" i="4"/>
  <c r="R227" i="4"/>
  <c r="T234" i="4"/>
  <c r="Y236" i="4"/>
  <c r="R240" i="4"/>
  <c r="T241" i="4"/>
  <c r="W244" i="4"/>
  <c r="M245" i="4"/>
  <c r="W245" i="4"/>
  <c r="AA246" i="4"/>
  <c r="T249" i="4"/>
  <c r="M253" i="4"/>
  <c r="W253" i="4"/>
  <c r="B256" i="4"/>
  <c r="W258" i="4"/>
  <c r="Q259" i="4"/>
  <c r="AC259" i="4"/>
  <c r="M261" i="4"/>
  <c r="W261" i="4"/>
  <c r="R193" i="4"/>
  <c r="M194" i="4"/>
  <c r="R197" i="4"/>
  <c r="U199" i="4"/>
  <c r="T203" i="4"/>
  <c r="P214" i="4"/>
  <c r="N219" i="4"/>
  <c r="AC219" i="4"/>
  <c r="T221" i="4"/>
  <c r="R222" i="4"/>
  <c r="Z222" i="4"/>
  <c r="M223" i="4"/>
  <c r="Z223" i="4"/>
  <c r="Q225" i="4"/>
  <c r="Z225" i="4"/>
  <c r="L226" i="4"/>
  <c r="U226" i="4"/>
  <c r="Q229" i="4"/>
  <c r="Z229" i="4"/>
  <c r="L230" i="4"/>
  <c r="U231" i="4"/>
  <c r="L233" i="4"/>
  <c r="Y233" i="4"/>
  <c r="L234" i="4"/>
  <c r="U234" i="4"/>
  <c r="U235" i="4"/>
  <c r="A236" i="4"/>
  <c r="AA236" i="4"/>
  <c r="P237" i="4"/>
  <c r="Y237" i="4"/>
  <c r="M238" i="4"/>
  <c r="A241" i="4"/>
  <c r="U241" i="4"/>
  <c r="O245" i="4"/>
  <c r="U249" i="4"/>
  <c r="N254" i="4"/>
  <c r="O256" i="4"/>
  <c r="Z260" i="4"/>
  <c r="O261" i="4"/>
  <c r="N262" i="4"/>
  <c r="O264" i="4"/>
  <c r="Y265" i="4"/>
  <c r="M165" i="4"/>
  <c r="T183" i="4"/>
  <c r="M186" i="4"/>
  <c r="N194" i="4"/>
  <c r="T195" i="4"/>
  <c r="N195" i="4"/>
  <c r="N198" i="4"/>
  <c r="U206" i="4"/>
  <c r="L208" i="4"/>
  <c r="T212" i="4"/>
  <c r="R214" i="4"/>
  <c r="U215" i="4"/>
  <c r="U227" i="4"/>
  <c r="N233" i="4"/>
  <c r="Z233" i="4"/>
  <c r="M234" i="4"/>
  <c r="M236" i="4"/>
  <c r="Q237" i="4"/>
  <c r="AB237" i="4"/>
  <c r="L241" i="4"/>
  <c r="A244" i="4"/>
  <c r="Y244" i="4"/>
  <c r="P245" i="4"/>
  <c r="Y245" i="4"/>
  <c r="N246" i="4"/>
  <c r="L249" i="4"/>
  <c r="W252" i="4"/>
  <c r="P253" i="4"/>
  <c r="Y253" i="4"/>
  <c r="O254" i="4"/>
  <c r="R256" i="4"/>
  <c r="T259" i="4"/>
  <c r="P261" i="4"/>
  <c r="Y261" i="4"/>
  <c r="R264" i="4"/>
  <c r="Q190" i="4"/>
  <c r="M195" i="4"/>
  <c r="U195" i="4"/>
  <c r="M198" i="4"/>
  <c r="T199" i="4"/>
  <c r="W206" i="4"/>
  <c r="B209" i="4"/>
  <c r="B215" i="4"/>
  <c r="L221" i="4"/>
  <c r="Y221" i="4"/>
  <c r="L222" i="4"/>
  <c r="U222" i="4"/>
  <c r="R223" i="4"/>
  <c r="T225" i="4"/>
  <c r="P226" i="4"/>
  <c r="B227" i="4"/>
  <c r="A229" i="4"/>
  <c r="T229" i="4"/>
  <c r="P230" i="4"/>
  <c r="Z230" i="4"/>
  <c r="M231" i="4"/>
  <c r="Z231" i="4"/>
  <c r="M235" i="4"/>
  <c r="Z235" i="4"/>
  <c r="Q236" i="4"/>
  <c r="T237" i="4"/>
  <c r="O241" i="4"/>
  <c r="N244" i="4"/>
  <c r="AC261" i="4"/>
  <c r="P265" i="4"/>
  <c r="Y28" i="4"/>
  <c r="AC28" i="4" s="1"/>
  <c r="Y72" i="4"/>
  <c r="AA72" i="4" s="1"/>
  <c r="Z96" i="4"/>
  <c r="Z118" i="4"/>
  <c r="AB142" i="4"/>
  <c r="Y134" i="4"/>
  <c r="AC134" i="4" s="1"/>
  <c r="Y115" i="4"/>
  <c r="AA115" i="4" s="1"/>
  <c r="Y201" i="4"/>
  <c r="AC201" i="4" s="1"/>
  <c r="AB96" i="4"/>
  <c r="Y99" i="4"/>
  <c r="AC99" i="4" s="1"/>
  <c r="AA118" i="4"/>
  <c r="Y185" i="4"/>
  <c r="AC185" i="4" s="1"/>
  <c r="Z8" i="4"/>
  <c r="Y8" i="4"/>
  <c r="AA8" i="4" s="1"/>
  <c r="S5" i="3"/>
  <c r="Y5" i="3"/>
  <c r="Y3" i="3"/>
  <c r="Y2" i="3"/>
  <c r="M14" i="4"/>
  <c r="Q23" i="4"/>
  <c r="M25" i="4"/>
  <c r="Q30" i="4"/>
  <c r="P30" i="4"/>
  <c r="W30" i="4"/>
  <c r="Y30" i="4" s="1"/>
  <c r="N30" i="4"/>
  <c r="U30" i="4"/>
  <c r="M30" i="4"/>
  <c r="T30" i="4"/>
  <c r="W18" i="4"/>
  <c r="Z18" i="4" s="1"/>
  <c r="N18" i="4"/>
  <c r="U18" i="4"/>
  <c r="M18" i="4"/>
  <c r="T18" i="4"/>
  <c r="R18" i="4"/>
  <c r="Q22" i="4"/>
  <c r="P22" i="4"/>
  <c r="W22" i="4"/>
  <c r="Z22" i="4" s="1"/>
  <c r="N22" i="4"/>
  <c r="T22" i="4"/>
  <c r="Z35" i="4"/>
  <c r="Y35" i="4"/>
  <c r="AB35" i="4" s="1"/>
  <c r="W7" i="4"/>
  <c r="Y7" i="4" s="1"/>
  <c r="N7" i="4"/>
  <c r="U7" i="4"/>
  <c r="M7" i="4"/>
  <c r="T7" i="4"/>
  <c r="R7" i="4"/>
  <c r="Q9" i="4"/>
  <c r="P9" i="4"/>
  <c r="W9" i="4"/>
  <c r="Z9" i="4" s="1"/>
  <c r="N9" i="4"/>
  <c r="T9" i="4"/>
  <c r="P18" i="4"/>
  <c r="M22" i="4"/>
  <c r="Z43" i="4"/>
  <c r="Y43" i="4"/>
  <c r="AB43" i="4" s="1"/>
  <c r="C11" i="3"/>
  <c r="Q7" i="4"/>
  <c r="R9" i="4"/>
  <c r="W15" i="4"/>
  <c r="Y15" i="4" s="1"/>
  <c r="AA15" i="4" s="1"/>
  <c r="N15" i="4"/>
  <c r="U15" i="4"/>
  <c r="M15" i="4"/>
  <c r="T15" i="4"/>
  <c r="R15" i="4"/>
  <c r="Q19" i="4"/>
  <c r="P19" i="4"/>
  <c r="W19" i="4"/>
  <c r="Z19" i="4" s="1"/>
  <c r="N19" i="4"/>
  <c r="T19" i="4"/>
  <c r="Q26" i="4"/>
  <c r="P26" i="4"/>
  <c r="W26" i="4"/>
  <c r="Z26" i="4" s="1"/>
  <c r="N26" i="4"/>
  <c r="U26" i="4"/>
  <c r="M26" i="4"/>
  <c r="T26" i="4"/>
  <c r="W3" i="4"/>
  <c r="Y3" i="4" s="1"/>
  <c r="AA3" i="4" s="1"/>
  <c r="N3" i="4"/>
  <c r="U3" i="4"/>
  <c r="M3" i="4"/>
  <c r="T3" i="4"/>
  <c r="R3" i="4"/>
  <c r="Q6" i="4"/>
  <c r="P6" i="4"/>
  <c r="W6" i="4"/>
  <c r="Z6" i="4" s="1"/>
  <c r="N6" i="4"/>
  <c r="T6" i="4"/>
  <c r="M19" i="4"/>
  <c r="U22" i="4"/>
  <c r="Y48" i="4"/>
  <c r="AB48" i="4" s="1"/>
  <c r="W23" i="4"/>
  <c r="Z23" i="4" s="1"/>
  <c r="N23" i="4"/>
  <c r="U23" i="4"/>
  <c r="M23" i="4"/>
  <c r="T23" i="4"/>
  <c r="R23" i="4"/>
  <c r="Q3" i="4"/>
  <c r="R6" i="4"/>
  <c r="W11" i="4"/>
  <c r="Y11" i="4" s="1"/>
  <c r="AA11" i="4" s="1"/>
  <c r="N11" i="4"/>
  <c r="U11" i="4"/>
  <c r="M11" i="4"/>
  <c r="T11" i="4"/>
  <c r="R11" i="4"/>
  <c r="Q14" i="4"/>
  <c r="P14" i="4"/>
  <c r="W14" i="4"/>
  <c r="Z14" i="4" s="1"/>
  <c r="N14" i="4"/>
  <c r="T14" i="4"/>
  <c r="P23" i="4"/>
  <c r="M33" i="4"/>
  <c r="Q38" i="4"/>
  <c r="W38" i="4"/>
  <c r="Y38" i="4" s="1"/>
  <c r="U38" i="4"/>
  <c r="M49" i="4"/>
  <c r="Q51" i="4"/>
  <c r="W51" i="4"/>
  <c r="Z51" i="4" s="1"/>
  <c r="U51" i="4"/>
  <c r="T62" i="4"/>
  <c r="R64" i="4"/>
  <c r="P64" i="4"/>
  <c r="N64" i="4"/>
  <c r="W65" i="4"/>
  <c r="Y65" i="4" s="1"/>
  <c r="AB65" i="4" s="1"/>
  <c r="N65" i="4"/>
  <c r="U65" i="4"/>
  <c r="M65" i="4"/>
  <c r="T65" i="4"/>
  <c r="M83" i="4"/>
  <c r="N141" i="4"/>
  <c r="T141" i="4"/>
  <c r="R141" i="4"/>
  <c r="Q141" i="4"/>
  <c r="P141" i="4"/>
  <c r="W141" i="4"/>
  <c r="Z141" i="4" s="1"/>
  <c r="M141" i="4"/>
  <c r="U141" i="4"/>
  <c r="P4" i="4"/>
  <c r="N5" i="4"/>
  <c r="P8" i="4"/>
  <c r="N10" i="4"/>
  <c r="P12" i="4"/>
  <c r="N13" i="4"/>
  <c r="P16" i="4"/>
  <c r="N17" i="4"/>
  <c r="P20" i="4"/>
  <c r="N21" i="4"/>
  <c r="P24" i="4"/>
  <c r="N25" i="4"/>
  <c r="R27" i="4"/>
  <c r="P28" i="4"/>
  <c r="N29" i="4"/>
  <c r="R31" i="4"/>
  <c r="P32" i="4"/>
  <c r="N33" i="4"/>
  <c r="Q39" i="4"/>
  <c r="P36" i="4"/>
  <c r="T41" i="4"/>
  <c r="N42" i="4"/>
  <c r="R45" i="4"/>
  <c r="W46" i="4"/>
  <c r="U46" i="4"/>
  <c r="M46" i="4"/>
  <c r="N49" i="4"/>
  <c r="Q54" i="4"/>
  <c r="P57" i="4"/>
  <c r="T56" i="4"/>
  <c r="N58" i="4"/>
  <c r="N61" i="4"/>
  <c r="R60" i="4"/>
  <c r="M66" i="4"/>
  <c r="P65" i="4"/>
  <c r="N75" i="4"/>
  <c r="T79" i="4"/>
  <c r="Y77" i="4"/>
  <c r="AC77" i="4" s="1"/>
  <c r="M78" i="4"/>
  <c r="U84" i="4"/>
  <c r="Q95" i="4"/>
  <c r="M95" i="4"/>
  <c r="M38" i="4"/>
  <c r="R36" i="4"/>
  <c r="Q41" i="4"/>
  <c r="W41" i="4"/>
  <c r="Y41" i="4" s="1"/>
  <c r="U41" i="4"/>
  <c r="P42" i="4"/>
  <c r="R57" i="4"/>
  <c r="Q56" i="4"/>
  <c r="W56" i="4"/>
  <c r="Y56" i="4" s="1"/>
  <c r="U56" i="4"/>
  <c r="P58" i="4"/>
  <c r="Q62" i="4"/>
  <c r="P62" i="4"/>
  <c r="W62" i="4"/>
  <c r="Y62" i="4" s="1"/>
  <c r="R66" i="4"/>
  <c r="P74" i="4"/>
  <c r="W74" i="4"/>
  <c r="Y74" i="4" s="1"/>
  <c r="R74" i="4"/>
  <c r="Q74" i="4"/>
  <c r="N74" i="4"/>
  <c r="M74" i="4"/>
  <c r="R4" i="4"/>
  <c r="P5" i="4"/>
  <c r="R8" i="4"/>
  <c r="P10" i="4"/>
  <c r="R12" i="4"/>
  <c r="P13" i="4"/>
  <c r="R16" i="4"/>
  <c r="P17" i="4"/>
  <c r="R20" i="4"/>
  <c r="P21" i="4"/>
  <c r="R24" i="4"/>
  <c r="P25" i="4"/>
  <c r="T27" i="4"/>
  <c r="R28" i="4"/>
  <c r="Z28" i="4"/>
  <c r="P29" i="4"/>
  <c r="T31" i="4"/>
  <c r="R32" i="4"/>
  <c r="Z32" i="4"/>
  <c r="R33" i="4"/>
  <c r="W34" i="4"/>
  <c r="Z34" i="4" s="1"/>
  <c r="U34" i="4"/>
  <c r="M34" i="4"/>
  <c r="N38" i="4"/>
  <c r="Q42" i="4"/>
  <c r="T45" i="4"/>
  <c r="N47" i="4"/>
  <c r="W50" i="4"/>
  <c r="Z50" i="4" s="1"/>
  <c r="U50" i="4"/>
  <c r="M50" i="4"/>
  <c r="N51" i="4"/>
  <c r="Q58" i="4"/>
  <c r="T60" i="4"/>
  <c r="R65" i="4"/>
  <c r="M77" i="4"/>
  <c r="R77" i="4"/>
  <c r="Q77" i="4"/>
  <c r="P77" i="4"/>
  <c r="U78" i="4"/>
  <c r="Z88" i="4"/>
  <c r="Y88" i="4"/>
  <c r="AC88" i="4" s="1"/>
  <c r="W84" i="4"/>
  <c r="Z84" i="4" s="1"/>
  <c r="Q100" i="4"/>
  <c r="P100" i="4"/>
  <c r="W100" i="4"/>
  <c r="Z100" i="4" s="1"/>
  <c r="N100" i="4"/>
  <c r="U100" i="4"/>
  <c r="M100" i="4"/>
  <c r="T100" i="4"/>
  <c r="R100" i="4"/>
  <c r="D9" i="5"/>
  <c r="D6" i="5"/>
  <c r="D8" i="5"/>
  <c r="D5" i="5"/>
  <c r="D7" i="5"/>
  <c r="D4" i="5"/>
  <c r="Q5" i="4"/>
  <c r="Y5" i="4"/>
  <c r="AA5" i="4" s="1"/>
  <c r="Q10" i="4"/>
  <c r="Q13" i="4"/>
  <c r="Q17" i="4"/>
  <c r="Y17" i="4"/>
  <c r="Q21" i="4"/>
  <c r="Q25" i="4"/>
  <c r="M27" i="4"/>
  <c r="U27" i="4"/>
  <c r="Q29" i="4"/>
  <c r="Y29" i="4"/>
  <c r="M31" i="4"/>
  <c r="U31" i="4"/>
  <c r="AA32" i="4"/>
  <c r="M37" i="4"/>
  <c r="P38" i="4"/>
  <c r="T39" i="4"/>
  <c r="M41" i="4"/>
  <c r="R42" i="4"/>
  <c r="Q45" i="4"/>
  <c r="W45" i="4"/>
  <c r="Z45" i="4" s="1"/>
  <c r="U45" i="4"/>
  <c r="M53" i="4"/>
  <c r="P51" i="4"/>
  <c r="T54" i="4"/>
  <c r="Y55" i="4"/>
  <c r="AB55" i="4" s="1"/>
  <c r="M56" i="4"/>
  <c r="R58" i="4"/>
  <c r="M62" i="4"/>
  <c r="T66" i="4"/>
  <c r="T74" i="4"/>
  <c r="R82" i="4"/>
  <c r="Q82" i="4"/>
  <c r="P82" i="4"/>
  <c r="N82" i="4"/>
  <c r="W82" i="4"/>
  <c r="Z82" i="4" s="1"/>
  <c r="M82" i="4"/>
  <c r="Y80" i="4"/>
  <c r="AC80" i="4" s="1"/>
  <c r="R5" i="4"/>
  <c r="Z5" i="4"/>
  <c r="R10" i="4"/>
  <c r="R13" i="4"/>
  <c r="R17" i="4"/>
  <c r="Z17" i="4"/>
  <c r="T20" i="4"/>
  <c r="R21" i="4"/>
  <c r="T24" i="4"/>
  <c r="R25" i="4"/>
  <c r="N27" i="4"/>
  <c r="T28" i="4"/>
  <c r="R29" i="4"/>
  <c r="Z29" i="4"/>
  <c r="N31" i="4"/>
  <c r="T32" i="4"/>
  <c r="AB32" i="4"/>
  <c r="T33" i="4"/>
  <c r="N34" i="4"/>
  <c r="Y34" i="4"/>
  <c r="AC34" i="4" s="1"/>
  <c r="R38" i="4"/>
  <c r="W39" i="4"/>
  <c r="U39" i="4"/>
  <c r="M39" i="4"/>
  <c r="N41" i="4"/>
  <c r="P47" i="4"/>
  <c r="N50" i="4"/>
  <c r="Y50" i="4"/>
  <c r="R51" i="4"/>
  <c r="W54" i="4"/>
  <c r="U54" i="4"/>
  <c r="M54" i="4"/>
  <c r="N56" i="4"/>
  <c r="Z56" i="4"/>
  <c r="N62" i="4"/>
  <c r="W60" i="4"/>
  <c r="Z60" i="4" s="1"/>
  <c r="N60" i="4"/>
  <c r="U60" i="4"/>
  <c r="M60" i="4"/>
  <c r="U66" i="4"/>
  <c r="Z69" i="4"/>
  <c r="Y69" i="4"/>
  <c r="AB69" i="4" s="1"/>
  <c r="U74" i="4"/>
  <c r="AB72" i="4"/>
  <c r="Q109" i="4"/>
  <c r="P109" i="4"/>
  <c r="W109" i="4"/>
  <c r="Z109" i="4" s="1"/>
  <c r="N109" i="4"/>
  <c r="U109" i="4"/>
  <c r="M109" i="4"/>
  <c r="T109" i="4"/>
  <c r="C25" i="6"/>
  <c r="C20" i="6"/>
  <c r="W27" i="4"/>
  <c r="Y27" i="4" s="1"/>
  <c r="AA27" i="4" s="1"/>
  <c r="W31" i="4"/>
  <c r="Y31" i="4" s="1"/>
  <c r="AA31" i="4" s="1"/>
  <c r="U32" i="4"/>
  <c r="Q33" i="4"/>
  <c r="W33" i="4"/>
  <c r="Y33" i="4" s="1"/>
  <c r="U33" i="4"/>
  <c r="P34" i="4"/>
  <c r="M36" i="4"/>
  <c r="P41" i="4"/>
  <c r="T42" i="4"/>
  <c r="M45" i="4"/>
  <c r="Q49" i="4"/>
  <c r="W49" i="4"/>
  <c r="Z49" i="4" s="1"/>
  <c r="U49" i="4"/>
  <c r="P50" i="4"/>
  <c r="M57" i="4"/>
  <c r="P56" i="4"/>
  <c r="T58" i="4"/>
  <c r="R62" i="4"/>
  <c r="R67" i="4"/>
  <c r="Q67" i="4"/>
  <c r="N67" i="4"/>
  <c r="T82" i="4"/>
  <c r="N80" i="4"/>
  <c r="R80" i="4"/>
  <c r="Q80" i="4"/>
  <c r="P80" i="4"/>
  <c r="AB88" i="4"/>
  <c r="R109" i="4"/>
  <c r="W42" i="4"/>
  <c r="Y42" i="4" s="1"/>
  <c r="U42" i="4"/>
  <c r="M42" i="4"/>
  <c r="W58" i="4"/>
  <c r="Y58" i="4" s="1"/>
  <c r="U58" i="4"/>
  <c r="M58" i="4"/>
  <c r="Q66" i="4"/>
  <c r="P66" i="4"/>
  <c r="W66" i="4"/>
  <c r="Z66" i="4" s="1"/>
  <c r="N66" i="4"/>
  <c r="N79" i="4"/>
  <c r="U79" i="4"/>
  <c r="M79" i="4"/>
  <c r="R79" i="4"/>
  <c r="Q79" i="4"/>
  <c r="P79" i="4"/>
  <c r="W79" i="4"/>
  <c r="Y79" i="4" s="1"/>
  <c r="P78" i="4"/>
  <c r="W78" i="4"/>
  <c r="Z78" i="4" s="1"/>
  <c r="T78" i="4"/>
  <c r="R78" i="4"/>
  <c r="Q78" i="4"/>
  <c r="N78" i="4"/>
  <c r="T83" i="4"/>
  <c r="Z83" i="4"/>
  <c r="R83" i="4"/>
  <c r="Y83" i="4"/>
  <c r="AB83" i="4" s="1"/>
  <c r="Q83" i="4"/>
  <c r="U83" i="4"/>
  <c r="P83" i="4"/>
  <c r="N83" i="4"/>
  <c r="T84" i="4"/>
  <c r="R84" i="4"/>
  <c r="Q84" i="4"/>
  <c r="P84" i="4"/>
  <c r="N84" i="4"/>
  <c r="M84" i="4"/>
  <c r="R85" i="4"/>
  <c r="P85" i="4"/>
  <c r="W85" i="4"/>
  <c r="Z85" i="4" s="1"/>
  <c r="P88" i="4"/>
  <c r="T91" i="4"/>
  <c r="R91" i="4"/>
  <c r="Q91" i="4"/>
  <c r="W91" i="4"/>
  <c r="Z91" i="4" s="1"/>
  <c r="N105" i="4"/>
  <c r="Q113" i="4"/>
  <c r="N113" i="4"/>
  <c r="P131" i="4"/>
  <c r="N131" i="4"/>
  <c r="U131" i="4"/>
  <c r="M131" i="4"/>
  <c r="T131" i="4"/>
  <c r="R131" i="4"/>
  <c r="W131" i="4"/>
  <c r="Z131" i="4" s="1"/>
  <c r="Q131" i="4"/>
  <c r="R128" i="4"/>
  <c r="P128" i="4"/>
  <c r="W128" i="4"/>
  <c r="Y128" i="4" s="1"/>
  <c r="N128" i="4"/>
  <c r="T128" i="4"/>
  <c r="U128" i="4"/>
  <c r="Q128" i="4"/>
  <c r="T139" i="4"/>
  <c r="R139" i="4"/>
  <c r="Q139" i="4"/>
  <c r="P139" i="4"/>
  <c r="M139" i="4"/>
  <c r="W139" i="4"/>
  <c r="Z139" i="4" s="1"/>
  <c r="U139" i="4"/>
  <c r="N139" i="4"/>
  <c r="N68" i="4"/>
  <c r="U68" i="4"/>
  <c r="M68" i="4"/>
  <c r="P71" i="4"/>
  <c r="R70" i="4"/>
  <c r="Q70" i="4"/>
  <c r="U70" i="4"/>
  <c r="Q88" i="4"/>
  <c r="R89" i="4"/>
  <c r="P89" i="4"/>
  <c r="W89" i="4"/>
  <c r="Z89" i="4" s="1"/>
  <c r="P90" i="4"/>
  <c r="M91" i="4"/>
  <c r="T92" i="4"/>
  <c r="M128" i="4"/>
  <c r="Q37" i="4"/>
  <c r="Y37" i="4"/>
  <c r="Q36" i="4"/>
  <c r="Y36" i="4"/>
  <c r="AA36" i="4" s="1"/>
  <c r="Q44" i="4"/>
  <c r="Q47" i="4"/>
  <c r="Y47" i="4"/>
  <c r="AA47" i="4" s="1"/>
  <c r="Q53" i="4"/>
  <c r="Y53" i="4"/>
  <c r="Q57" i="4"/>
  <c r="Y57" i="4"/>
  <c r="AA57" i="4" s="1"/>
  <c r="AA59" i="4"/>
  <c r="Q61" i="4"/>
  <c r="Q64" i="4"/>
  <c r="W68" i="4"/>
  <c r="Z68" i="4" s="1"/>
  <c r="Q71" i="4"/>
  <c r="N73" i="4"/>
  <c r="P76" i="4"/>
  <c r="W76" i="4"/>
  <c r="U76" i="4"/>
  <c r="P81" i="4"/>
  <c r="N81" i="4"/>
  <c r="U81" i="4"/>
  <c r="M81" i="4"/>
  <c r="W81" i="4"/>
  <c r="Z81" i="4" s="1"/>
  <c r="M85" i="4"/>
  <c r="R88" i="4"/>
  <c r="Q90" i="4"/>
  <c r="N91" i="4"/>
  <c r="R93" i="4"/>
  <c r="P93" i="4"/>
  <c r="W93" i="4"/>
  <c r="Z93" i="4" s="1"/>
  <c r="Q97" i="4"/>
  <c r="P97" i="4"/>
  <c r="W97" i="4"/>
  <c r="Z97" i="4" s="1"/>
  <c r="N97" i="4"/>
  <c r="U97" i="4"/>
  <c r="M97" i="4"/>
  <c r="M103" i="4"/>
  <c r="Q111" i="4"/>
  <c r="N111" i="4"/>
  <c r="Q117" i="4"/>
  <c r="P117" i="4"/>
  <c r="W117" i="4"/>
  <c r="Z117" i="4" s="1"/>
  <c r="N117" i="4"/>
  <c r="U117" i="4"/>
  <c r="M117" i="4"/>
  <c r="T117" i="4"/>
  <c r="P145" i="4"/>
  <c r="N145" i="4"/>
  <c r="T145" i="4"/>
  <c r="R145" i="4"/>
  <c r="Q145" i="4"/>
  <c r="W145" i="4"/>
  <c r="Z145" i="4" s="1"/>
  <c r="U145" i="4"/>
  <c r="M145" i="4"/>
  <c r="M152" i="4"/>
  <c r="Q152" i="4"/>
  <c r="N152" i="4"/>
  <c r="P166" i="4"/>
  <c r="N166" i="4"/>
  <c r="U166" i="4"/>
  <c r="M166" i="4"/>
  <c r="T166" i="4"/>
  <c r="R166" i="4"/>
  <c r="W166" i="4"/>
  <c r="Z166" i="4" s="1"/>
  <c r="Q166" i="4"/>
  <c r="M70" i="4"/>
  <c r="W70" i="4"/>
  <c r="Y70" i="4" s="1"/>
  <c r="N85" i="4"/>
  <c r="P86" i="4"/>
  <c r="N86" i="4"/>
  <c r="U86" i="4"/>
  <c r="M86" i="4"/>
  <c r="W86" i="4"/>
  <c r="M89" i="4"/>
  <c r="R90" i="4"/>
  <c r="N103" i="4"/>
  <c r="R117" i="4"/>
  <c r="M35" i="4"/>
  <c r="U35" i="4"/>
  <c r="M40" i="4"/>
  <c r="U40" i="4"/>
  <c r="M43" i="4"/>
  <c r="U43" i="4"/>
  <c r="M48" i="4"/>
  <c r="U48" i="4"/>
  <c r="M52" i="4"/>
  <c r="U52" i="4"/>
  <c r="M55" i="4"/>
  <c r="U55" i="4"/>
  <c r="M59" i="4"/>
  <c r="U59" i="4"/>
  <c r="M63" i="4"/>
  <c r="U63" i="4"/>
  <c r="M69" i="4"/>
  <c r="U69" i="4"/>
  <c r="P67" i="4"/>
  <c r="W67" i="4"/>
  <c r="U67" i="4"/>
  <c r="P68" i="4"/>
  <c r="N70" i="4"/>
  <c r="N72" i="4"/>
  <c r="AC72" i="4"/>
  <c r="U72" i="4"/>
  <c r="M72" i="4"/>
  <c r="Z75" i="4"/>
  <c r="R75" i="4"/>
  <c r="Y75" i="4"/>
  <c r="Q75" i="4"/>
  <c r="U75" i="4"/>
  <c r="M76" i="4"/>
  <c r="Q85" i="4"/>
  <c r="N89" i="4"/>
  <c r="P87" i="4"/>
  <c r="N87" i="4"/>
  <c r="U87" i="4"/>
  <c r="M87" i="4"/>
  <c r="W87" i="4"/>
  <c r="P91" i="4"/>
  <c r="M93" i="4"/>
  <c r="R97" i="4"/>
  <c r="Q108" i="4"/>
  <c r="P108" i="4"/>
  <c r="W108" i="4"/>
  <c r="Z108" i="4" s="1"/>
  <c r="N108" i="4"/>
  <c r="U108" i="4"/>
  <c r="M108" i="4"/>
  <c r="Q107" i="4"/>
  <c r="N107" i="4"/>
  <c r="Q114" i="4"/>
  <c r="P114" i="4"/>
  <c r="W114" i="4"/>
  <c r="Z114" i="4" s="1"/>
  <c r="N114" i="4"/>
  <c r="U114" i="4"/>
  <c r="M114" i="4"/>
  <c r="T114" i="4"/>
  <c r="AC118" i="4"/>
  <c r="AB118" i="4"/>
  <c r="M120" i="4"/>
  <c r="R144" i="4"/>
  <c r="P144" i="4"/>
  <c r="Q144" i="4"/>
  <c r="N144" i="4"/>
  <c r="W144" i="4"/>
  <c r="Y144" i="4" s="1"/>
  <c r="M144" i="4"/>
  <c r="T144" i="4"/>
  <c r="U144" i="4"/>
  <c r="Q92" i="4"/>
  <c r="P92" i="4"/>
  <c r="W92" i="4"/>
  <c r="Z92" i="4" s="1"/>
  <c r="N92" i="4"/>
  <c r="U92" i="4"/>
  <c r="M92" i="4"/>
  <c r="N120" i="4"/>
  <c r="T121" i="4"/>
  <c r="Z121" i="4"/>
  <c r="R121" i="4"/>
  <c r="Y121" i="4"/>
  <c r="AC121" i="4" s="1"/>
  <c r="Q121" i="4"/>
  <c r="P121" i="4"/>
  <c r="R125" i="4"/>
  <c r="P125" i="4"/>
  <c r="W125" i="4"/>
  <c r="Z125" i="4" s="1"/>
  <c r="N125" i="4"/>
  <c r="Q123" i="4"/>
  <c r="T127" i="4"/>
  <c r="Z127" i="4"/>
  <c r="R127" i="4"/>
  <c r="Y127" i="4"/>
  <c r="AB127" i="4" s="1"/>
  <c r="Q127" i="4"/>
  <c r="P127" i="4"/>
  <c r="N127" i="4"/>
  <c r="P136" i="4"/>
  <c r="N136" i="4"/>
  <c r="U136" i="4"/>
  <c r="M136" i="4"/>
  <c r="T136" i="4"/>
  <c r="R136" i="4"/>
  <c r="Y177" i="4"/>
  <c r="Z177" i="4"/>
  <c r="AA96" i="4"/>
  <c r="Q94" i="4"/>
  <c r="Y94" i="4"/>
  <c r="AC94" i="4" s="1"/>
  <c r="W95" i="4"/>
  <c r="Y95" i="4" s="1"/>
  <c r="AA99" i="4"/>
  <c r="Q98" i="4"/>
  <c r="Y98" i="4"/>
  <c r="AC98" i="4" s="1"/>
  <c r="W103" i="4"/>
  <c r="Y103" i="4" s="1"/>
  <c r="AA103" i="4" s="1"/>
  <c r="Q102" i="4"/>
  <c r="Y102" i="4"/>
  <c r="AC102" i="4" s="1"/>
  <c r="W105" i="4"/>
  <c r="Y105" i="4" s="1"/>
  <c r="Q104" i="4"/>
  <c r="W107" i="4"/>
  <c r="Y107" i="4" s="1"/>
  <c r="AA107" i="4" s="1"/>
  <c r="Q112" i="4"/>
  <c r="Y112" i="4"/>
  <c r="AC112" i="4" s="1"/>
  <c r="W111" i="4"/>
  <c r="Y111" i="4" s="1"/>
  <c r="Q116" i="4"/>
  <c r="Y116" i="4"/>
  <c r="AC116" i="4" s="1"/>
  <c r="W113" i="4"/>
  <c r="Y113" i="4" s="1"/>
  <c r="Q119" i="4"/>
  <c r="Y119" i="4"/>
  <c r="AC119" i="4" s="1"/>
  <c r="P120" i="4"/>
  <c r="Y120" i="4"/>
  <c r="AC120" i="4" s="1"/>
  <c r="M121" i="4"/>
  <c r="P124" i="4"/>
  <c r="N124" i="4"/>
  <c r="AC124" i="4"/>
  <c r="U124" i="4"/>
  <c r="M124" i="4"/>
  <c r="AB124" i="4"/>
  <c r="T124" i="4"/>
  <c r="Z124" i="4"/>
  <c r="R124" i="4"/>
  <c r="AA124" i="4"/>
  <c r="R129" i="4"/>
  <c r="P129" i="4"/>
  <c r="W129" i="4"/>
  <c r="Y129" i="4" s="1"/>
  <c r="AC129" i="4" s="1"/>
  <c r="N129" i="4"/>
  <c r="T129" i="4"/>
  <c r="M127" i="4"/>
  <c r="AB158" i="4"/>
  <c r="AC158" i="4"/>
  <c r="T71" i="4"/>
  <c r="T73" i="4"/>
  <c r="T77" i="4"/>
  <c r="T80" i="4"/>
  <c r="T88" i="4"/>
  <c r="T90" i="4"/>
  <c r="T96" i="4"/>
  <c r="R94" i="4"/>
  <c r="Z94" i="4"/>
  <c r="P95" i="4"/>
  <c r="T99" i="4"/>
  <c r="R98" i="4"/>
  <c r="Z98" i="4"/>
  <c r="P103" i="4"/>
  <c r="T101" i="4"/>
  <c r="R102" i="4"/>
  <c r="P105" i="4"/>
  <c r="T106" i="4"/>
  <c r="R104" i="4"/>
  <c r="Z104" i="4"/>
  <c r="P107" i="4"/>
  <c r="R112" i="4"/>
  <c r="Z112" i="4"/>
  <c r="P111" i="4"/>
  <c r="R116" i="4"/>
  <c r="Z116" i="4"/>
  <c r="P113" i="4"/>
  <c r="R119" i="4"/>
  <c r="Z119" i="4"/>
  <c r="Q120" i="4"/>
  <c r="Z120" i="4"/>
  <c r="N121" i="4"/>
  <c r="M125" i="4"/>
  <c r="M129" i="4"/>
  <c r="Q136" i="4"/>
  <c r="T146" i="4"/>
  <c r="R146" i="4"/>
  <c r="Q146" i="4"/>
  <c r="P146" i="4"/>
  <c r="N146" i="4"/>
  <c r="W146" i="4"/>
  <c r="Y146" i="4" s="1"/>
  <c r="AC146" i="4" s="1"/>
  <c r="M146" i="4"/>
  <c r="U146" i="4"/>
  <c r="Y152" i="4"/>
  <c r="AC152" i="4" s="1"/>
  <c r="M96" i="4"/>
  <c r="M99" i="4"/>
  <c r="M101" i="4"/>
  <c r="M106" i="4"/>
  <c r="M110" i="4"/>
  <c r="M115" i="4"/>
  <c r="M118" i="4"/>
  <c r="Q125" i="4"/>
  <c r="T122" i="4"/>
  <c r="Z122" i="4"/>
  <c r="R122" i="4"/>
  <c r="Y122" i="4"/>
  <c r="AB122" i="4" s="1"/>
  <c r="Q122" i="4"/>
  <c r="P122" i="4"/>
  <c r="N122" i="4"/>
  <c r="P130" i="4"/>
  <c r="N130" i="4"/>
  <c r="U130" i="4"/>
  <c r="M130" i="4"/>
  <c r="T130" i="4"/>
  <c r="Z130" i="4"/>
  <c r="R130" i="4"/>
  <c r="R135" i="4"/>
  <c r="P135" i="4"/>
  <c r="W135" i="4"/>
  <c r="Z135" i="4" s="1"/>
  <c r="N135" i="4"/>
  <c r="T135" i="4"/>
  <c r="M148" i="4"/>
  <c r="R148" i="4"/>
  <c r="P148" i="4"/>
  <c r="Y183" i="4"/>
  <c r="AA183" i="4" s="1"/>
  <c r="Z183" i="4"/>
  <c r="T94" i="4"/>
  <c r="R95" i="4"/>
  <c r="T98" i="4"/>
  <c r="R103" i="4"/>
  <c r="T102" i="4"/>
  <c r="R105" i="4"/>
  <c r="T104" i="4"/>
  <c r="R107" i="4"/>
  <c r="T112" i="4"/>
  <c r="R111" i="4"/>
  <c r="T116" i="4"/>
  <c r="R113" i="4"/>
  <c r="T119" i="4"/>
  <c r="M122" i="4"/>
  <c r="U127" i="4"/>
  <c r="M135" i="4"/>
  <c r="Q147" i="4"/>
  <c r="N147" i="4"/>
  <c r="M94" i="4"/>
  <c r="U94" i="4"/>
  <c r="M98" i="4"/>
  <c r="U98" i="4"/>
  <c r="M102" i="4"/>
  <c r="U102" i="4"/>
  <c r="M104" i="4"/>
  <c r="U104" i="4"/>
  <c r="M112" i="4"/>
  <c r="U112" i="4"/>
  <c r="M116" i="4"/>
  <c r="U116" i="4"/>
  <c r="M119" i="4"/>
  <c r="U119" i="4"/>
  <c r="T120" i="4"/>
  <c r="U120" i="4"/>
  <c r="U121" i="4"/>
  <c r="T125" i="4"/>
  <c r="Q126" i="4"/>
  <c r="Q130" i="4"/>
  <c r="T132" i="4"/>
  <c r="Z132" i="4"/>
  <c r="R132" i="4"/>
  <c r="Y132" i="4"/>
  <c r="AC132" i="4" s="1"/>
  <c r="Q132" i="4"/>
  <c r="P132" i="4"/>
  <c r="N132" i="4"/>
  <c r="Q135" i="4"/>
  <c r="W136" i="4"/>
  <c r="N138" i="4"/>
  <c r="R138" i="4"/>
  <c r="Q138" i="4"/>
  <c r="P138" i="4"/>
  <c r="W138" i="4"/>
  <c r="Y138" i="4" s="1"/>
  <c r="AB138" i="4" s="1"/>
  <c r="U138" i="4"/>
  <c r="N149" i="4"/>
  <c r="T149" i="4"/>
  <c r="R149" i="4"/>
  <c r="Q149" i="4"/>
  <c r="P149" i="4"/>
  <c r="W149" i="4"/>
  <c r="M149" i="4"/>
  <c r="U149" i="4"/>
  <c r="P133" i="4"/>
  <c r="P134" i="4"/>
  <c r="N137" i="4"/>
  <c r="N140" i="4"/>
  <c r="R142" i="4"/>
  <c r="R150" i="4"/>
  <c r="M158" i="4"/>
  <c r="Q158" i="4"/>
  <c r="W164" i="4"/>
  <c r="Y164" i="4" s="1"/>
  <c r="AB164" i="4" s="1"/>
  <c r="Q164" i="4"/>
  <c r="N164" i="4"/>
  <c r="M164" i="4"/>
  <c r="R164" i="4"/>
  <c r="U178" i="4"/>
  <c r="M191" i="4"/>
  <c r="R123" i="4"/>
  <c r="R126" i="4"/>
  <c r="Z126" i="4"/>
  <c r="R133" i="4"/>
  <c r="Z133" i="4"/>
  <c r="R134" i="4"/>
  <c r="Z134" i="4"/>
  <c r="P137" i="4"/>
  <c r="Q140" i="4"/>
  <c r="T142" i="4"/>
  <c r="Q143" i="4"/>
  <c r="T150" i="4"/>
  <c r="Y151" i="4"/>
  <c r="Y156" i="4"/>
  <c r="AC156" i="4" s="1"/>
  <c r="Q156" i="4"/>
  <c r="P156" i="4"/>
  <c r="T156" i="4"/>
  <c r="R156" i="4"/>
  <c r="N156" i="4"/>
  <c r="W157" i="4"/>
  <c r="Z157" i="4" s="1"/>
  <c r="N157" i="4"/>
  <c r="T157" i="4"/>
  <c r="R157" i="4"/>
  <c r="W159" i="4"/>
  <c r="U159" i="4"/>
  <c r="M159" i="4"/>
  <c r="T159" i="4"/>
  <c r="R159" i="4"/>
  <c r="P159" i="4"/>
  <c r="M199" i="4"/>
  <c r="N199" i="4"/>
  <c r="AA133" i="4"/>
  <c r="Q137" i="4"/>
  <c r="Y137" i="4"/>
  <c r="AC137" i="4" s="1"/>
  <c r="P142" i="4"/>
  <c r="N142" i="4"/>
  <c r="U142" i="4"/>
  <c r="P150" i="4"/>
  <c r="N150" i="4"/>
  <c r="U150" i="4"/>
  <c r="Q162" i="4"/>
  <c r="W162" i="4"/>
  <c r="Z162" i="4" s="1"/>
  <c r="N162" i="4"/>
  <c r="U162" i="4"/>
  <c r="Y176" i="4"/>
  <c r="AA176" i="4" s="1"/>
  <c r="AE236" i="4" s="1"/>
  <c r="Z176" i="4"/>
  <c r="T123" i="4"/>
  <c r="T126" i="4"/>
  <c r="T133" i="4"/>
  <c r="AB133" i="4"/>
  <c r="T134" i="4"/>
  <c r="R137" i="4"/>
  <c r="Z137" i="4"/>
  <c r="T140" i="4"/>
  <c r="U143" i="4"/>
  <c r="M156" i="4"/>
  <c r="P157" i="4"/>
  <c r="M162" i="4"/>
  <c r="Q159" i="4"/>
  <c r="P167" i="4"/>
  <c r="U164" i="4"/>
  <c r="Y169" i="4"/>
  <c r="AB169" i="4" s="1"/>
  <c r="U172" i="4"/>
  <c r="U180" i="4"/>
  <c r="R140" i="4"/>
  <c r="P140" i="4"/>
  <c r="U140" i="4"/>
  <c r="T143" i="4"/>
  <c r="R143" i="4"/>
  <c r="N148" i="4"/>
  <c r="T148" i="4"/>
  <c r="Z147" i="4"/>
  <c r="R147" i="4"/>
  <c r="P147" i="4"/>
  <c r="U147" i="4"/>
  <c r="M150" i="4"/>
  <c r="W150" i="4"/>
  <c r="Z152" i="4"/>
  <c r="T152" i="4"/>
  <c r="R152" i="4"/>
  <c r="U155" i="4"/>
  <c r="M155" i="4"/>
  <c r="T155" i="4"/>
  <c r="R155" i="4"/>
  <c r="Z155" i="4"/>
  <c r="P155" i="4"/>
  <c r="Y155" i="4"/>
  <c r="AA155" i="4" s="1"/>
  <c r="AE215" i="4" s="1"/>
  <c r="AF215" i="4" s="1"/>
  <c r="Q157" i="4"/>
  <c r="P162" i="4"/>
  <c r="N165" i="4"/>
  <c r="N123" i="4"/>
  <c r="N126" i="4"/>
  <c r="N133" i="4"/>
  <c r="N134" i="4"/>
  <c r="T137" i="4"/>
  <c r="M143" i="4"/>
  <c r="W143" i="4"/>
  <c r="Y143" i="4" s="1"/>
  <c r="AA158" i="4"/>
  <c r="AE218" i="4" s="1"/>
  <c r="AF218" i="4" s="1"/>
  <c r="R162" i="4"/>
  <c r="R165" i="4"/>
  <c r="Y170" i="4"/>
  <c r="AA170" i="4" s="1"/>
  <c r="AE230" i="4" s="1"/>
  <c r="Z170" i="4"/>
  <c r="Q9" i="5"/>
  <c r="L143" i="4" s="1"/>
  <c r="W154" i="4"/>
  <c r="Y154" i="4" s="1"/>
  <c r="N154" i="4"/>
  <c r="U154" i="4"/>
  <c r="U160" i="4"/>
  <c r="M160" i="4"/>
  <c r="T160" i="4"/>
  <c r="W160" i="4"/>
  <c r="Z160" i="4" s="1"/>
  <c r="Q168" i="4"/>
  <c r="P168" i="4"/>
  <c r="W168" i="4"/>
  <c r="Z168" i="4" s="1"/>
  <c r="N168" i="4"/>
  <c r="M168" i="4"/>
  <c r="R185" i="4"/>
  <c r="Q185" i="4"/>
  <c r="P192" i="4"/>
  <c r="W192" i="4"/>
  <c r="Z192" i="4" s="1"/>
  <c r="N192" i="4"/>
  <c r="U192" i="4"/>
  <c r="M192" i="4"/>
  <c r="T192" i="4"/>
  <c r="R192" i="4"/>
  <c r="Q192" i="4"/>
  <c r="Q153" i="4"/>
  <c r="P153" i="4"/>
  <c r="U153" i="4"/>
  <c r="M154" i="4"/>
  <c r="N151" i="4"/>
  <c r="N161" i="4"/>
  <c r="Q183" i="4"/>
  <c r="P183" i="4"/>
  <c r="R183" i="4"/>
  <c r="N183" i="4"/>
  <c r="M183" i="4"/>
  <c r="R182" i="4"/>
  <c r="Q182" i="4"/>
  <c r="W182" i="4"/>
  <c r="N182" i="4"/>
  <c r="M182" i="4"/>
  <c r="M153" i="4"/>
  <c r="W153" i="4"/>
  <c r="Z153" i="4" s="1"/>
  <c r="Q154" i="4"/>
  <c r="Q160" i="4"/>
  <c r="Q167" i="4"/>
  <c r="W167" i="4"/>
  <c r="N167" i="4"/>
  <c r="Q170" i="4"/>
  <c r="P170" i="4"/>
  <c r="N170" i="4"/>
  <c r="M170" i="4"/>
  <c r="P173" i="4"/>
  <c r="W173" i="4"/>
  <c r="Z173" i="4" s="1"/>
  <c r="U173" i="4"/>
  <c r="M173" i="4"/>
  <c r="R173" i="4"/>
  <c r="Q176" i="4"/>
  <c r="P176" i="4"/>
  <c r="N176" i="4"/>
  <c r="M176" i="4"/>
  <c r="P174" i="4"/>
  <c r="W174" i="4"/>
  <c r="Z174" i="4" s="1"/>
  <c r="U174" i="4"/>
  <c r="M174" i="4"/>
  <c r="R174" i="4"/>
  <c r="Q177" i="4"/>
  <c r="P177" i="4"/>
  <c r="N177" i="4"/>
  <c r="M177" i="4"/>
  <c r="P179" i="4"/>
  <c r="W179" i="4"/>
  <c r="Z179" i="4" s="1"/>
  <c r="U179" i="4"/>
  <c r="M179" i="4"/>
  <c r="R179" i="4"/>
  <c r="P182" i="4"/>
  <c r="P184" i="4"/>
  <c r="R184" i="4"/>
  <c r="W184" i="4"/>
  <c r="Y184" i="4" s="1"/>
  <c r="AC184" i="4" s="1"/>
  <c r="N184" i="4"/>
  <c r="P196" i="4"/>
  <c r="W196" i="4"/>
  <c r="Y196" i="4" s="1"/>
  <c r="AC196" i="4" s="1"/>
  <c r="N196" i="4"/>
  <c r="U196" i="4"/>
  <c r="M196" i="4"/>
  <c r="R196" i="4"/>
  <c r="AC224" i="4"/>
  <c r="U224" i="4"/>
  <c r="M224" i="4"/>
  <c r="Z224" i="4"/>
  <c r="R224" i="4"/>
  <c r="B224" i="4"/>
  <c r="Y224" i="4"/>
  <c r="Q224" i="4"/>
  <c r="A224" i="4"/>
  <c r="W224" i="4"/>
  <c r="O224" i="4"/>
  <c r="T224" i="4"/>
  <c r="P224" i="4"/>
  <c r="N224" i="4"/>
  <c r="L224" i="4"/>
  <c r="K224" i="4"/>
  <c r="AB224" i="4"/>
  <c r="R151" i="4"/>
  <c r="Z151" i="4"/>
  <c r="R158" i="4"/>
  <c r="Z158" i="4"/>
  <c r="P161" i="4"/>
  <c r="R163" i="4"/>
  <c r="P165" i="4"/>
  <c r="AA177" i="4"/>
  <c r="Y181" i="4"/>
  <c r="AB181" i="4" s="1"/>
  <c r="M184" i="4"/>
  <c r="Q196" i="4"/>
  <c r="Z211" i="4"/>
  <c r="R211" i="4"/>
  <c r="B211" i="4"/>
  <c r="Y211" i="4"/>
  <c r="Q211" i="4"/>
  <c r="A211" i="4"/>
  <c r="P211" i="4"/>
  <c r="W211" i="4"/>
  <c r="O211" i="4"/>
  <c r="AB211" i="4"/>
  <c r="T211" i="4"/>
  <c r="L211" i="4"/>
  <c r="U211" i="4"/>
  <c r="N211" i="4"/>
  <c r="M211" i="4"/>
  <c r="AA211" i="4"/>
  <c r="K211" i="4"/>
  <c r="Q161" i="4"/>
  <c r="Q165" i="4"/>
  <c r="R172" i="4"/>
  <c r="Q172" i="4"/>
  <c r="W172" i="4"/>
  <c r="Z172" i="4" s="1"/>
  <c r="R178" i="4"/>
  <c r="Q178" i="4"/>
  <c r="W178" i="4"/>
  <c r="Y178" i="4" s="1"/>
  <c r="R180" i="4"/>
  <c r="Q180" i="4"/>
  <c r="W180" i="4"/>
  <c r="Z180" i="4" s="1"/>
  <c r="Q184" i="4"/>
  <c r="T188" i="4"/>
  <c r="Z188" i="4"/>
  <c r="R188" i="4"/>
  <c r="Y188" i="4"/>
  <c r="AC188" i="4" s="1"/>
  <c r="Q188" i="4"/>
  <c r="U188" i="4"/>
  <c r="N188" i="4"/>
  <c r="P198" i="4"/>
  <c r="N202" i="4"/>
  <c r="M202" i="4"/>
  <c r="Z207" i="4"/>
  <c r="R207" i="4"/>
  <c r="B207" i="4"/>
  <c r="Y207" i="4"/>
  <c r="Q207" i="4"/>
  <c r="A207" i="4"/>
  <c r="P207" i="4"/>
  <c r="W207" i="4"/>
  <c r="O207" i="4"/>
  <c r="AB207" i="4"/>
  <c r="T207" i="4"/>
  <c r="L207" i="4"/>
  <c r="U207" i="4"/>
  <c r="N207" i="4"/>
  <c r="M207" i="4"/>
  <c r="AA207" i="4"/>
  <c r="K207" i="4"/>
  <c r="AA224" i="4"/>
  <c r="M180" i="4"/>
  <c r="T184" i="4"/>
  <c r="P188" i="4"/>
  <c r="R191" i="4"/>
  <c r="Q191" i="4"/>
  <c r="P191" i="4"/>
  <c r="W191" i="4"/>
  <c r="Z191" i="4" s="1"/>
  <c r="U191" i="4"/>
  <c r="N191" i="4"/>
  <c r="R203" i="4"/>
  <c r="Q203" i="4"/>
  <c r="P203" i="4"/>
  <c r="W203" i="4"/>
  <c r="Z203" i="4" s="1"/>
  <c r="M203" i="4"/>
  <c r="U203" i="4"/>
  <c r="Q212" i="4"/>
  <c r="R186" i="4"/>
  <c r="P186" i="4"/>
  <c r="W186" i="4"/>
  <c r="Y186" i="4" s="1"/>
  <c r="AC186" i="4" s="1"/>
  <c r="P190" i="4"/>
  <c r="T200" i="4"/>
  <c r="AA213" i="4"/>
  <c r="P213" i="4"/>
  <c r="W213" i="4"/>
  <c r="O213" i="4"/>
  <c r="Z213" i="4"/>
  <c r="Q213" i="4"/>
  <c r="Y213" i="4"/>
  <c r="N213" i="4"/>
  <c r="M213" i="4"/>
  <c r="L213" i="4"/>
  <c r="AC213" i="4"/>
  <c r="A213" i="4"/>
  <c r="K213" i="4"/>
  <c r="AC232" i="4"/>
  <c r="U232" i="4"/>
  <c r="M232" i="4"/>
  <c r="AB232" i="4"/>
  <c r="T232" i="4"/>
  <c r="L232" i="4"/>
  <c r="AA232" i="4"/>
  <c r="Z232" i="4"/>
  <c r="R232" i="4"/>
  <c r="B232" i="4"/>
  <c r="Y232" i="4"/>
  <c r="Q232" i="4"/>
  <c r="A232" i="4"/>
  <c r="W232" i="4"/>
  <c r="O232" i="4"/>
  <c r="N232" i="4"/>
  <c r="P232" i="4"/>
  <c r="K232" i="4"/>
  <c r="M169" i="4"/>
  <c r="U169" i="4"/>
  <c r="M171" i="4"/>
  <c r="U171" i="4"/>
  <c r="M175" i="4"/>
  <c r="U175" i="4"/>
  <c r="M181" i="4"/>
  <c r="U181" i="4"/>
  <c r="N186" i="4"/>
  <c r="P189" i="4"/>
  <c r="N189" i="4"/>
  <c r="U189" i="4"/>
  <c r="M189" i="4"/>
  <c r="W189" i="4"/>
  <c r="R199" i="4"/>
  <c r="Q199" i="4"/>
  <c r="P199" i="4"/>
  <c r="W199" i="4"/>
  <c r="Z199" i="4" s="1"/>
  <c r="P204" i="4"/>
  <c r="W204" i="4"/>
  <c r="Z204" i="4" s="1"/>
  <c r="N204" i="4"/>
  <c r="U204" i="4"/>
  <c r="M204" i="4"/>
  <c r="Y205" i="4"/>
  <c r="AA205" i="4" s="1"/>
  <c r="AD265" i="4" s="1"/>
  <c r="A208" i="4"/>
  <c r="A212" i="4"/>
  <c r="N171" i="4"/>
  <c r="N175" i="4"/>
  <c r="N181" i="4"/>
  <c r="Q186" i="4"/>
  <c r="R195" i="4"/>
  <c r="Q195" i="4"/>
  <c r="P195" i="4"/>
  <c r="W195" i="4"/>
  <c r="Y195" i="4" s="1"/>
  <c r="P200" i="4"/>
  <c r="W200" i="4"/>
  <c r="Z200" i="4" s="1"/>
  <c r="N200" i="4"/>
  <c r="U200" i="4"/>
  <c r="M200" i="4"/>
  <c r="P208" i="4"/>
  <c r="W208" i="4"/>
  <c r="O208" i="4"/>
  <c r="N208" i="4"/>
  <c r="AC208" i="4"/>
  <c r="U208" i="4"/>
  <c r="M208" i="4"/>
  <c r="Z208" i="4"/>
  <c r="R208" i="4"/>
  <c r="B208" i="4"/>
  <c r="K208" i="4"/>
  <c r="AA208" i="4"/>
  <c r="Z212" i="4"/>
  <c r="P212" i="4"/>
  <c r="W212" i="4"/>
  <c r="O212" i="4"/>
  <c r="N212" i="4"/>
  <c r="U212" i="4"/>
  <c r="M212" i="4"/>
  <c r="AA212" i="4"/>
  <c r="R212" i="4"/>
  <c r="B212" i="4"/>
  <c r="K212" i="4"/>
  <c r="AB212" i="4"/>
  <c r="T213" i="4"/>
  <c r="Q187" i="4"/>
  <c r="Y187" i="4"/>
  <c r="AC187" i="4" s="1"/>
  <c r="Q194" i="4"/>
  <c r="Y194" i="4"/>
  <c r="AC194" i="4" s="1"/>
  <c r="Q198" i="4"/>
  <c r="Y198" i="4"/>
  <c r="AC198" i="4" s="1"/>
  <c r="Q202" i="4"/>
  <c r="Y202" i="4"/>
  <c r="AC202" i="4" s="1"/>
  <c r="A206" i="4"/>
  <c r="Q206" i="4"/>
  <c r="Y206" i="4"/>
  <c r="K209" i="4"/>
  <c r="AA209" i="4"/>
  <c r="A210" i="4"/>
  <c r="Q210" i="4"/>
  <c r="Y210" i="4"/>
  <c r="AC216" i="4"/>
  <c r="U216" i="4"/>
  <c r="M216" i="4"/>
  <c r="Z216" i="4"/>
  <c r="R216" i="4"/>
  <c r="B216" i="4"/>
  <c r="Y216" i="4"/>
  <c r="Q216" i="4"/>
  <c r="A216" i="4"/>
  <c r="W216" i="4"/>
  <c r="O216" i="4"/>
  <c r="K216" i="4"/>
  <c r="AA216" i="4"/>
  <c r="T185" i="4"/>
  <c r="T190" i="4"/>
  <c r="R187" i="4"/>
  <c r="T193" i="4"/>
  <c r="R194" i="4"/>
  <c r="Z194" i="4"/>
  <c r="T197" i="4"/>
  <c r="R198" i="4"/>
  <c r="Z198" i="4"/>
  <c r="T201" i="4"/>
  <c r="R202" i="4"/>
  <c r="Z202" i="4"/>
  <c r="T205" i="4"/>
  <c r="B206" i="4"/>
  <c r="R206" i="4"/>
  <c r="Z206" i="4"/>
  <c r="L209" i="4"/>
  <c r="T209" i="4"/>
  <c r="AB209" i="4"/>
  <c r="B210" i="4"/>
  <c r="R210" i="4"/>
  <c r="Z210" i="4"/>
  <c r="B214" i="4"/>
  <c r="L216" i="4"/>
  <c r="AB216" i="4"/>
  <c r="P242" i="4"/>
  <c r="AB242" i="4"/>
  <c r="T242" i="4"/>
  <c r="L242" i="4"/>
  <c r="Y242" i="4"/>
  <c r="Q242" i="4"/>
  <c r="A242" i="4"/>
  <c r="AC242" i="4"/>
  <c r="R242" i="4"/>
  <c r="AA242" i="4"/>
  <c r="O242" i="4"/>
  <c r="Z242" i="4"/>
  <c r="N242" i="4"/>
  <c r="M242" i="4"/>
  <c r="B242" i="4"/>
  <c r="U242" i="4"/>
  <c r="K242" i="4"/>
  <c r="M205" i="4"/>
  <c r="U205" i="4"/>
  <c r="K206" i="4"/>
  <c r="AA206" i="4"/>
  <c r="M209" i="4"/>
  <c r="U209" i="4"/>
  <c r="AC209" i="4"/>
  <c r="K210" i="4"/>
  <c r="AA210" i="4"/>
  <c r="Y214" i="4"/>
  <c r="Q214" i="4"/>
  <c r="A214" i="4"/>
  <c r="N214" i="4"/>
  <c r="AC214" i="4"/>
  <c r="U214" i="4"/>
  <c r="M214" i="4"/>
  <c r="AA214" i="4"/>
  <c r="K214" i="4"/>
  <c r="L214" i="4"/>
  <c r="N216" i="4"/>
  <c r="P250" i="4"/>
  <c r="AC250" i="4"/>
  <c r="U250" i="4"/>
  <c r="M250" i="4"/>
  <c r="AB250" i="4"/>
  <c r="T250" i="4"/>
  <c r="L250" i="4"/>
  <c r="Z250" i="4"/>
  <c r="R250" i="4"/>
  <c r="B250" i="4"/>
  <c r="Y250" i="4"/>
  <c r="Q250" i="4"/>
  <c r="A250" i="4"/>
  <c r="W250" i="4"/>
  <c r="O250" i="4"/>
  <c r="N250" i="4"/>
  <c r="AA250" i="4"/>
  <c r="K250" i="4"/>
  <c r="N185" i="4"/>
  <c r="N190" i="4"/>
  <c r="T187" i="4"/>
  <c r="N193" i="4"/>
  <c r="L194" i="4"/>
  <c r="T194" i="4"/>
  <c r="N197" i="4"/>
  <c r="T198" i="4"/>
  <c r="N201" i="4"/>
  <c r="T202" i="4"/>
  <c r="N205" i="4"/>
  <c r="L206" i="4"/>
  <c r="T206" i="4"/>
  <c r="N209" i="4"/>
  <c r="L210" i="4"/>
  <c r="T210" i="4"/>
  <c r="O214" i="4"/>
  <c r="Z214" i="4"/>
  <c r="P216" i="4"/>
  <c r="AC220" i="4"/>
  <c r="U220" i="4"/>
  <c r="M220" i="4"/>
  <c r="Z220" i="4"/>
  <c r="R220" i="4"/>
  <c r="B220" i="4"/>
  <c r="Y220" i="4"/>
  <c r="Q220" i="4"/>
  <c r="A220" i="4"/>
  <c r="W220" i="4"/>
  <c r="O220" i="4"/>
  <c r="K220" i="4"/>
  <c r="AA220" i="4"/>
  <c r="AC228" i="4"/>
  <c r="U228" i="4"/>
  <c r="M228" i="4"/>
  <c r="AB228" i="4"/>
  <c r="T228" i="4"/>
  <c r="L228" i="4"/>
  <c r="Z228" i="4"/>
  <c r="R228" i="4"/>
  <c r="B228" i="4"/>
  <c r="Y228" i="4"/>
  <c r="Q228" i="4"/>
  <c r="A228" i="4"/>
  <c r="W228" i="4"/>
  <c r="O228" i="4"/>
  <c r="K228" i="4"/>
  <c r="P247" i="4"/>
  <c r="AA247" i="4"/>
  <c r="AB248" i="4"/>
  <c r="T248" i="4"/>
  <c r="L248" i="4"/>
  <c r="P248" i="4"/>
  <c r="AC248" i="4"/>
  <c r="U248" i="4"/>
  <c r="M248" i="4"/>
  <c r="K248" i="4"/>
  <c r="A215" i="4"/>
  <c r="Q215" i="4"/>
  <c r="Y215" i="4"/>
  <c r="M217" i="4"/>
  <c r="U217" i="4"/>
  <c r="AC217" i="4"/>
  <c r="K218" i="4"/>
  <c r="AA218" i="4"/>
  <c r="A219" i="4"/>
  <c r="Q219" i="4"/>
  <c r="Y219" i="4"/>
  <c r="M221" i="4"/>
  <c r="U221" i="4"/>
  <c r="AC221" i="4"/>
  <c r="K222" i="4"/>
  <c r="AA222" i="4"/>
  <c r="A223" i="4"/>
  <c r="Q223" i="4"/>
  <c r="Y223" i="4"/>
  <c r="M225" i="4"/>
  <c r="U225" i="4"/>
  <c r="AC225" i="4"/>
  <c r="K226" i="4"/>
  <c r="AA226" i="4"/>
  <c r="A227" i="4"/>
  <c r="Q227" i="4"/>
  <c r="Y227" i="4"/>
  <c r="M229" i="4"/>
  <c r="U229" i="4"/>
  <c r="AC229" i="4"/>
  <c r="K230" i="4"/>
  <c r="AA230" i="4"/>
  <c r="A231" i="4"/>
  <c r="Q231" i="4"/>
  <c r="Y231" i="4"/>
  <c r="M233" i="4"/>
  <c r="U233" i="4"/>
  <c r="AC233" i="4"/>
  <c r="K234" i="4"/>
  <c r="AA234" i="4"/>
  <c r="A235" i="4"/>
  <c r="Q235" i="4"/>
  <c r="Y235" i="4"/>
  <c r="R236" i="4"/>
  <c r="P238" i="4"/>
  <c r="AB238" i="4"/>
  <c r="T238" i="4"/>
  <c r="L238" i="4"/>
  <c r="Y238" i="4"/>
  <c r="Q238" i="4"/>
  <c r="A238" i="4"/>
  <c r="K238" i="4"/>
  <c r="W238" i="4"/>
  <c r="T239" i="4"/>
  <c r="Q240" i="4"/>
  <c r="AA240" i="4"/>
  <c r="O244" i="4"/>
  <c r="Z244" i="4"/>
  <c r="U246" i="4"/>
  <c r="Q247" i="4"/>
  <c r="AB247" i="4"/>
  <c r="N248" i="4"/>
  <c r="Y248" i="4"/>
  <c r="AB260" i="4"/>
  <c r="T260" i="4"/>
  <c r="L260" i="4"/>
  <c r="Y260" i="4"/>
  <c r="Q260" i="4"/>
  <c r="A260" i="4"/>
  <c r="P260" i="4"/>
  <c r="N260" i="4"/>
  <c r="AC260" i="4"/>
  <c r="U260" i="4"/>
  <c r="M260" i="4"/>
  <c r="K260" i="4"/>
  <c r="AA260" i="4"/>
  <c r="P262" i="4"/>
  <c r="AC262" i="4"/>
  <c r="U262" i="4"/>
  <c r="M262" i="4"/>
  <c r="AB262" i="4"/>
  <c r="T262" i="4"/>
  <c r="L262" i="4"/>
  <c r="Z262" i="4"/>
  <c r="R262" i="4"/>
  <c r="B262" i="4"/>
  <c r="Y262" i="4"/>
  <c r="Q262" i="4"/>
  <c r="A262" i="4"/>
  <c r="K262" i="4"/>
  <c r="K215" i="4"/>
  <c r="AA215" i="4"/>
  <c r="O217" i="4"/>
  <c r="W217" i="4"/>
  <c r="K219" i="4"/>
  <c r="AA219" i="4"/>
  <c r="O221" i="4"/>
  <c r="W221" i="4"/>
  <c r="K223" i="4"/>
  <c r="AA223" i="4"/>
  <c r="K227" i="4"/>
  <c r="AA227" i="4"/>
  <c r="K231" i="4"/>
  <c r="AA231" i="4"/>
  <c r="O233" i="4"/>
  <c r="W233" i="4"/>
  <c r="AE233" i="4"/>
  <c r="AF233" i="4" s="1"/>
  <c r="AC234" i="4"/>
  <c r="K235" i="4"/>
  <c r="AA235" i="4"/>
  <c r="N238" i="4"/>
  <c r="Z238" i="4"/>
  <c r="N239" i="4"/>
  <c r="Z239" i="4"/>
  <c r="R239" i="4"/>
  <c r="B239" i="4"/>
  <c r="W239" i="4"/>
  <c r="O239" i="4"/>
  <c r="K239" i="4"/>
  <c r="R244" i="4"/>
  <c r="P246" i="4"/>
  <c r="AB246" i="4"/>
  <c r="T246" i="4"/>
  <c r="L246" i="4"/>
  <c r="Y246" i="4"/>
  <c r="Q246" i="4"/>
  <c r="A246" i="4"/>
  <c r="K246" i="4"/>
  <c r="W246" i="4"/>
  <c r="T247" i="4"/>
  <c r="Q248" i="4"/>
  <c r="AA248" i="4"/>
  <c r="L215" i="4"/>
  <c r="T215" i="4"/>
  <c r="AB215" i="4"/>
  <c r="P217" i="4"/>
  <c r="N218" i="4"/>
  <c r="L219" i="4"/>
  <c r="T219" i="4"/>
  <c r="AB219" i="4"/>
  <c r="P221" i="4"/>
  <c r="N222" i="4"/>
  <c r="L223" i="4"/>
  <c r="T223" i="4"/>
  <c r="AB223" i="4"/>
  <c r="P225" i="4"/>
  <c r="N226" i="4"/>
  <c r="L227" i="4"/>
  <c r="T227" i="4"/>
  <c r="AB227" i="4"/>
  <c r="P229" i="4"/>
  <c r="N230" i="4"/>
  <c r="L231" i="4"/>
  <c r="T231" i="4"/>
  <c r="AB231" i="4"/>
  <c r="P233" i="4"/>
  <c r="L235" i="4"/>
  <c r="T235" i="4"/>
  <c r="AB235" i="4"/>
  <c r="AB236" i="4"/>
  <c r="T236" i="4"/>
  <c r="L236" i="4"/>
  <c r="P236" i="4"/>
  <c r="AC236" i="4"/>
  <c r="U236" i="4"/>
  <c r="K236" i="4"/>
  <c r="W236" i="4"/>
  <c r="O238" i="4"/>
  <c r="AA238" i="4"/>
  <c r="L239" i="4"/>
  <c r="N243" i="4"/>
  <c r="Z243" i="4"/>
  <c r="R243" i="4"/>
  <c r="B243" i="4"/>
  <c r="AE243" i="4"/>
  <c r="AD243" i="4" s="1"/>
  <c r="W243" i="4"/>
  <c r="O243" i="4"/>
  <c r="K243" i="4"/>
  <c r="M246" i="4"/>
  <c r="A247" i="4"/>
  <c r="R248" i="4"/>
  <c r="B252" i="4"/>
  <c r="P254" i="4"/>
  <c r="AC254" i="4"/>
  <c r="U254" i="4"/>
  <c r="M254" i="4"/>
  <c r="AB254" i="4"/>
  <c r="T254" i="4"/>
  <c r="L254" i="4"/>
  <c r="Z254" i="4"/>
  <c r="R254" i="4"/>
  <c r="B254" i="4"/>
  <c r="Y254" i="4"/>
  <c r="Q254" i="4"/>
  <c r="A254" i="4"/>
  <c r="K254" i="4"/>
  <c r="N247" i="4"/>
  <c r="Z247" i="4"/>
  <c r="R247" i="4"/>
  <c r="B247" i="4"/>
  <c r="W247" i="4"/>
  <c r="O247" i="4"/>
  <c r="K247" i="4"/>
  <c r="AB252" i="4"/>
  <c r="T252" i="4"/>
  <c r="L252" i="4"/>
  <c r="Y252" i="4"/>
  <c r="Q252" i="4"/>
  <c r="A252" i="4"/>
  <c r="P252" i="4"/>
  <c r="N252" i="4"/>
  <c r="AC252" i="4"/>
  <c r="U252" i="4"/>
  <c r="M252" i="4"/>
  <c r="K252" i="4"/>
  <c r="AA252" i="4"/>
  <c r="Q4" i="5"/>
  <c r="L135" i="4" s="1"/>
  <c r="AB240" i="4"/>
  <c r="T240" i="4"/>
  <c r="L240" i="4"/>
  <c r="P240" i="4"/>
  <c r="AC240" i="4"/>
  <c r="U240" i="4"/>
  <c r="M240" i="4"/>
  <c r="K240" i="4"/>
  <c r="L247" i="4"/>
  <c r="A248" i="4"/>
  <c r="O252" i="4"/>
  <c r="P258" i="4"/>
  <c r="AC258" i="4"/>
  <c r="U258" i="4"/>
  <c r="M258" i="4"/>
  <c r="AB258" i="4"/>
  <c r="T258" i="4"/>
  <c r="L258" i="4"/>
  <c r="Z258" i="4"/>
  <c r="R258" i="4"/>
  <c r="B258" i="4"/>
  <c r="Y258" i="4"/>
  <c r="Q258" i="4"/>
  <c r="A258" i="4"/>
  <c r="K258" i="4"/>
  <c r="W260" i="4"/>
  <c r="W262" i="4"/>
  <c r="O215" i="4"/>
  <c r="W215" i="4"/>
  <c r="K217" i="4"/>
  <c r="O219" i="4"/>
  <c r="W219" i="4"/>
  <c r="K221" i="4"/>
  <c r="O223" i="4"/>
  <c r="W223" i="4"/>
  <c r="K225" i="4"/>
  <c r="O227" i="4"/>
  <c r="W227" i="4"/>
  <c r="K229" i="4"/>
  <c r="Q230" i="4"/>
  <c r="O231" i="4"/>
  <c r="W231" i="4"/>
  <c r="K233" i="4"/>
  <c r="Q234" i="4"/>
  <c r="O235" i="4"/>
  <c r="W235" i="4"/>
  <c r="O236" i="4"/>
  <c r="Z236" i="4"/>
  <c r="U238" i="4"/>
  <c r="Q239" i="4"/>
  <c r="AB239" i="4"/>
  <c r="N240" i="4"/>
  <c r="Y240" i="4"/>
  <c r="AB244" i="4"/>
  <c r="T244" i="4"/>
  <c r="L244" i="4"/>
  <c r="P244" i="4"/>
  <c r="AC244" i="4"/>
  <c r="U244" i="4"/>
  <c r="M244" i="4"/>
  <c r="K244" i="4"/>
  <c r="R246" i="4"/>
  <c r="AC246" i="4"/>
  <c r="M247" i="4"/>
  <c r="Y247" i="4"/>
  <c r="B248" i="4"/>
  <c r="W248" i="4"/>
  <c r="R252" i="4"/>
  <c r="AB256" i="4"/>
  <c r="T256" i="4"/>
  <c r="L256" i="4"/>
  <c r="Y256" i="4"/>
  <c r="Q256" i="4"/>
  <c r="A256" i="4"/>
  <c r="P256" i="4"/>
  <c r="N256" i="4"/>
  <c r="AC256" i="4"/>
  <c r="U256" i="4"/>
  <c r="M256" i="4"/>
  <c r="K256" i="4"/>
  <c r="AA256" i="4"/>
  <c r="N258" i="4"/>
  <c r="K237" i="4"/>
  <c r="AA237" i="4"/>
  <c r="K241" i="4"/>
  <c r="AA241" i="4"/>
  <c r="K245" i="4"/>
  <c r="AA245" i="4"/>
  <c r="K249" i="4"/>
  <c r="AA249" i="4"/>
  <c r="O251" i="4"/>
  <c r="W251" i="4"/>
  <c r="K253" i="4"/>
  <c r="AA253" i="4"/>
  <c r="O255" i="4"/>
  <c r="W255" i="4"/>
  <c r="K257" i="4"/>
  <c r="AA257" i="4"/>
  <c r="O259" i="4"/>
  <c r="W259" i="4"/>
  <c r="K261" i="4"/>
  <c r="AA261" i="4"/>
  <c r="O263" i="4"/>
  <c r="W263" i="4"/>
  <c r="M264" i="4"/>
  <c r="U264" i="4"/>
  <c r="AC264" i="4"/>
  <c r="K265" i="4"/>
  <c r="AA265" i="4"/>
  <c r="P251" i="4"/>
  <c r="P255" i="4"/>
  <c r="P259" i="4"/>
  <c r="P263" i="4"/>
  <c r="N264" i="4"/>
  <c r="L265" i="4"/>
  <c r="T265" i="4"/>
  <c r="AB265" i="4"/>
  <c r="M265" i="4"/>
  <c r="U265" i="4"/>
  <c r="AC265" i="4"/>
  <c r="N237" i="4"/>
  <c r="N241" i="4"/>
  <c r="N245" i="4"/>
  <c r="N249" i="4"/>
  <c r="B251" i="4"/>
  <c r="R251" i="4"/>
  <c r="Z251" i="4"/>
  <c r="N253" i="4"/>
  <c r="B255" i="4"/>
  <c r="R255" i="4"/>
  <c r="Z255" i="4"/>
  <c r="N257" i="4"/>
  <c r="B259" i="4"/>
  <c r="R259" i="4"/>
  <c r="Z259" i="4"/>
  <c r="N261" i="4"/>
  <c r="B263" i="4"/>
  <c r="R263" i="4"/>
  <c r="Z263" i="4"/>
  <c r="P264" i="4"/>
  <c r="N265" i="4"/>
  <c r="K251" i="4"/>
  <c r="AA251" i="4"/>
  <c r="K255" i="4"/>
  <c r="AA255" i="4"/>
  <c r="K259" i="4"/>
  <c r="AA259" i="4"/>
  <c r="K263" i="4"/>
  <c r="AA263" i="4"/>
  <c r="A264" i="4"/>
  <c r="Q264" i="4"/>
  <c r="Y264" i="4"/>
  <c r="O265" i="4"/>
  <c r="W265" i="4"/>
  <c r="AE265" i="4"/>
  <c r="AF265" i="4" s="1"/>
  <c r="K264" i="4"/>
  <c r="AA264" i="4"/>
  <c r="B237" i="4"/>
  <c r="R237" i="4"/>
  <c r="B241" i="4"/>
  <c r="R241" i="4"/>
  <c r="B245" i="4"/>
  <c r="R245" i="4"/>
  <c r="B249" i="4"/>
  <c r="R249" i="4"/>
  <c r="N251" i="4"/>
  <c r="B253" i="4"/>
  <c r="R253" i="4"/>
  <c r="N255" i="4"/>
  <c r="B257" i="4"/>
  <c r="R257" i="4"/>
  <c r="N259" i="4"/>
  <c r="R261" i="4"/>
  <c r="N263" i="4"/>
  <c r="L264" i="4"/>
  <c r="T264" i="4"/>
  <c r="B265" i="4"/>
  <c r="R265" i="4"/>
  <c r="AB123" i="4" l="1"/>
  <c r="Y90" i="4"/>
  <c r="AC90" i="4" s="1"/>
  <c r="AB134" i="4"/>
  <c r="AA123" i="4"/>
  <c r="Z123" i="4"/>
  <c r="AA134" i="4"/>
  <c r="Y161" i="4"/>
  <c r="Y84" i="4"/>
  <c r="AA84" i="4" s="1"/>
  <c r="Y4" i="4"/>
  <c r="AA4" i="4" s="1"/>
  <c r="Y140" i="4"/>
  <c r="Y106" i="4"/>
  <c r="AC126" i="4"/>
  <c r="AB126" i="4"/>
  <c r="AA126" i="4"/>
  <c r="AA77" i="4"/>
  <c r="Y78" i="4"/>
  <c r="AA78" i="4" s="1"/>
  <c r="AA186" i="4"/>
  <c r="Y173" i="4"/>
  <c r="AA173" i="4" s="1"/>
  <c r="AD233" i="4" s="1"/>
  <c r="AC59" i="4"/>
  <c r="K89" i="4"/>
  <c r="Z107" i="4"/>
  <c r="AF236" i="4"/>
  <c r="AD236" i="4"/>
  <c r="AF230" i="4"/>
  <c r="AD230" i="4"/>
  <c r="AE237" i="4"/>
  <c r="AF237" i="4" s="1"/>
  <c r="Y163" i="4"/>
  <c r="AA163" i="4" s="1"/>
  <c r="AF243" i="4"/>
  <c r="Y61" i="4"/>
  <c r="Z25" i="4"/>
  <c r="AD215" i="4"/>
  <c r="Z178" i="4"/>
  <c r="AE178" i="4" s="1"/>
  <c r="AF178" i="4" s="1"/>
  <c r="Y13" i="4"/>
  <c r="AA13" i="4" s="1"/>
  <c r="AD218" i="4"/>
  <c r="Y148" i="4"/>
  <c r="AB148" i="4" s="1"/>
  <c r="Z105" i="4"/>
  <c r="Z175" i="4"/>
  <c r="AB98" i="4"/>
  <c r="AA98" i="4"/>
  <c r="K201" i="4"/>
  <c r="K116" i="4"/>
  <c r="AA35" i="4"/>
  <c r="K77" i="4"/>
  <c r="Y168" i="4"/>
  <c r="AB168" i="4" s="1"/>
  <c r="Y73" i="4"/>
  <c r="AC73" i="4" s="1"/>
  <c r="AB94" i="4"/>
  <c r="K194" i="4"/>
  <c r="K193" i="4"/>
  <c r="Y89" i="4"/>
  <c r="Y192" i="4"/>
  <c r="AA192" i="4" s="1"/>
  <c r="Z154" i="4"/>
  <c r="AB77" i="4"/>
  <c r="AB99" i="4"/>
  <c r="K70" i="4"/>
  <c r="Y180" i="4"/>
  <c r="AA180" i="4" s="1"/>
  <c r="Z171" i="4"/>
  <c r="AE231" i="4" s="1"/>
  <c r="Y18" i="4"/>
  <c r="AA18" i="4" s="1"/>
  <c r="AB193" i="4"/>
  <c r="AA193" i="4"/>
  <c r="AA73" i="4"/>
  <c r="Y44" i="4"/>
  <c r="AA44" i="4" s="1"/>
  <c r="AE44" i="4" s="1"/>
  <c r="AF44" i="4" s="1"/>
  <c r="Y10" i="4"/>
  <c r="Y101" i="4"/>
  <c r="AB101" i="4" s="1"/>
  <c r="Z197" i="4"/>
  <c r="Y66" i="4"/>
  <c r="AA66" i="4" s="1"/>
  <c r="AC11" i="4"/>
  <c r="AA94" i="4"/>
  <c r="AC173" i="4"/>
  <c r="AA55" i="4"/>
  <c r="AE55" i="4" s="1"/>
  <c r="AF55" i="4" s="1"/>
  <c r="AB115" i="4"/>
  <c r="Y71" i="4"/>
  <c r="AC71" i="4" s="1"/>
  <c r="Z41" i="4"/>
  <c r="Y63" i="4"/>
  <c r="AB63" i="4" s="1"/>
  <c r="Y179" i="4"/>
  <c r="AA179" i="4" s="1"/>
  <c r="Z138" i="4"/>
  <c r="AC115" i="4"/>
  <c r="L174" i="4"/>
  <c r="L184" i="4"/>
  <c r="L175" i="4"/>
  <c r="O175" i="4" s="1"/>
  <c r="L195" i="4"/>
  <c r="L191" i="4"/>
  <c r="L198" i="4"/>
  <c r="L113" i="4"/>
  <c r="L187" i="4"/>
  <c r="L203" i="4"/>
  <c r="L196" i="4"/>
  <c r="L199" i="4"/>
  <c r="L182" i="4"/>
  <c r="L179" i="4"/>
  <c r="L204" i="4"/>
  <c r="L205" i="4"/>
  <c r="L202" i="4"/>
  <c r="L164" i="4"/>
  <c r="L171" i="4"/>
  <c r="L159" i="4"/>
  <c r="O159" i="4" s="1"/>
  <c r="L76" i="4"/>
  <c r="L185" i="4"/>
  <c r="L197" i="4"/>
  <c r="L151" i="4"/>
  <c r="L192" i="4"/>
  <c r="Q7" i="5"/>
  <c r="L71" i="4" s="1"/>
  <c r="Q8" i="5"/>
  <c r="L112" i="4" s="1"/>
  <c r="Y174" i="4"/>
  <c r="AA174" i="4" s="1"/>
  <c r="K191" i="4"/>
  <c r="Z190" i="4"/>
  <c r="Y165" i="4"/>
  <c r="AB165" i="4" s="1"/>
  <c r="Z146" i="4"/>
  <c r="AB201" i="4"/>
  <c r="AA201" i="4"/>
  <c r="AB104" i="4"/>
  <c r="AA104" i="4"/>
  <c r="K63" i="4"/>
  <c r="O194" i="4"/>
  <c r="D10" i="3"/>
  <c r="AC3" i="4"/>
  <c r="AA187" i="4"/>
  <c r="AA88" i="4"/>
  <c r="Z21" i="4"/>
  <c r="AA65" i="4"/>
  <c r="AE65" i="4" s="1"/>
  <c r="AF65" i="4" s="1"/>
  <c r="AC65" i="4"/>
  <c r="Y24" i="4"/>
  <c r="AC24" i="4" s="1"/>
  <c r="AB197" i="4"/>
  <c r="AA197" i="4"/>
  <c r="Y162" i="4"/>
  <c r="AA162" i="4" s="1"/>
  <c r="Y114" i="4"/>
  <c r="AC114" i="4" s="1"/>
  <c r="K25" i="4"/>
  <c r="Z30" i="4"/>
  <c r="Z195" i="4"/>
  <c r="Y40" i="4"/>
  <c r="AB40" i="4" s="1"/>
  <c r="Y60" i="4"/>
  <c r="AA60" i="4" s="1"/>
  <c r="AA28" i="4"/>
  <c r="Y20" i="4"/>
  <c r="K176" i="4"/>
  <c r="K186" i="4"/>
  <c r="K172" i="4"/>
  <c r="K158" i="4"/>
  <c r="K196" i="4"/>
  <c r="K182" i="4"/>
  <c r="K123" i="4"/>
  <c r="K164" i="4"/>
  <c r="O164" i="4" s="1"/>
  <c r="K120" i="4"/>
  <c r="K95" i="4"/>
  <c r="AB119" i="4"/>
  <c r="AA130" i="4"/>
  <c r="AC130" i="4"/>
  <c r="K110" i="4"/>
  <c r="K75" i="4"/>
  <c r="K179" i="4"/>
  <c r="AC18" i="4"/>
  <c r="AC205" i="4"/>
  <c r="K190" i="4"/>
  <c r="Y199" i="4"/>
  <c r="AC199" i="4" s="1"/>
  <c r="K178" i="4"/>
  <c r="Z184" i="4"/>
  <c r="K174" i="4"/>
  <c r="O174" i="4" s="1"/>
  <c r="K168" i="4"/>
  <c r="K160" i="4"/>
  <c r="AB155" i="4"/>
  <c r="K162" i="4"/>
  <c r="Z142" i="4"/>
  <c r="Z95" i="4"/>
  <c r="K146" i="4"/>
  <c r="Z79" i="4"/>
  <c r="Y49" i="4"/>
  <c r="AC49" i="4" s="1"/>
  <c r="Y100" i="4"/>
  <c r="AA100" i="4" s="1"/>
  <c r="D12" i="3"/>
  <c r="D11" i="3"/>
  <c r="K128" i="4"/>
  <c r="K130" i="4"/>
  <c r="K97" i="4"/>
  <c r="K205" i="4"/>
  <c r="K197" i="4"/>
  <c r="AA185" i="4"/>
  <c r="AB198" i="4"/>
  <c r="K183" i="4"/>
  <c r="K170" i="4"/>
  <c r="K165" i="4"/>
  <c r="AA184" i="4"/>
  <c r="AC142" i="4"/>
  <c r="AB116" i="4"/>
  <c r="K122" i="4"/>
  <c r="K96" i="4"/>
  <c r="Z144" i="4"/>
  <c r="AA48" i="4"/>
  <c r="AE47" i="4" s="1"/>
  <c r="AF47" i="4" s="1"/>
  <c r="AC48" i="4"/>
  <c r="Z11" i="4"/>
  <c r="Y110" i="4"/>
  <c r="K137" i="4"/>
  <c r="K195" i="4"/>
  <c r="O195" i="4" s="1"/>
  <c r="K159" i="4"/>
  <c r="K115" i="4"/>
  <c r="O115" i="4" s="1"/>
  <c r="AA106" i="4"/>
  <c r="K108" i="4"/>
  <c r="K145" i="4"/>
  <c r="Y64" i="4"/>
  <c r="AB64" i="4" s="1"/>
  <c r="AB163" i="4"/>
  <c r="Z12" i="4"/>
  <c r="Y12" i="4"/>
  <c r="K204" i="4"/>
  <c r="K138" i="4"/>
  <c r="K66" i="4"/>
  <c r="K161" i="4"/>
  <c r="K153" i="4"/>
  <c r="K175" i="4"/>
  <c r="K180" i="4"/>
  <c r="K173" i="4"/>
  <c r="K155" i="4"/>
  <c r="AC155" i="4"/>
  <c r="K140" i="4"/>
  <c r="K142" i="4"/>
  <c r="K133" i="4"/>
  <c r="K103" i="4"/>
  <c r="AB102" i="4"/>
  <c r="K119" i="4"/>
  <c r="K106" i="4"/>
  <c r="K88" i="4"/>
  <c r="K44" i="4"/>
  <c r="K117" i="4"/>
  <c r="AC163" i="4"/>
  <c r="Y52" i="4"/>
  <c r="AC15" i="4"/>
  <c r="Y16" i="4"/>
  <c r="AB28" i="4"/>
  <c r="K114" i="4"/>
  <c r="K185" i="4"/>
  <c r="K181" i="4"/>
  <c r="Y203" i="4"/>
  <c r="AA119" i="4"/>
  <c r="AE119" i="4" s="1"/>
  <c r="AF119" i="4" s="1"/>
  <c r="K202" i="4"/>
  <c r="AA194" i="4"/>
  <c r="K171" i="4"/>
  <c r="O171" i="4" s="1"/>
  <c r="AB184" i="4"/>
  <c r="K152" i="4"/>
  <c r="K111" i="4"/>
  <c r="K99" i="4"/>
  <c r="K57" i="4"/>
  <c r="Y85" i="4"/>
  <c r="AC85" i="4" s="1"/>
  <c r="K76" i="4"/>
  <c r="O76" i="4" s="1"/>
  <c r="K139" i="4"/>
  <c r="Z38" i="4"/>
  <c r="AC62" i="4"/>
  <c r="AA62" i="4"/>
  <c r="AB62" i="4"/>
  <c r="AB41" i="4"/>
  <c r="AA41" i="4"/>
  <c r="AE41" i="4" s="1"/>
  <c r="AF41" i="4" s="1"/>
  <c r="AC128" i="4"/>
  <c r="AA128" i="4"/>
  <c r="AA175" i="4"/>
  <c r="AB80" i="4"/>
  <c r="AA43" i="4"/>
  <c r="AE43" i="4" s="1"/>
  <c r="AF43" i="4" s="1"/>
  <c r="AA147" i="4"/>
  <c r="Z62" i="4"/>
  <c r="K187" i="4"/>
  <c r="AB186" i="4"/>
  <c r="Y204" i="4"/>
  <c r="AC204" i="4" s="1"/>
  <c r="K199" i="4"/>
  <c r="K189" i="4"/>
  <c r="AC181" i="4"/>
  <c r="K188" i="4"/>
  <c r="Y172" i="4"/>
  <c r="AC172" i="4" s="1"/>
  <c r="K151" i="4"/>
  <c r="K184" i="4"/>
  <c r="K167" i="4"/>
  <c r="K192" i="4"/>
  <c r="AB162" i="4"/>
  <c r="K147" i="4"/>
  <c r="K143" i="4"/>
  <c r="O143" i="4" s="1"/>
  <c r="K134" i="4"/>
  <c r="K156" i="4"/>
  <c r="K135" i="4"/>
  <c r="O135" i="4" s="1"/>
  <c r="K98" i="4"/>
  <c r="AA90" i="4"/>
  <c r="K144" i="4"/>
  <c r="K81" i="4"/>
  <c r="AB147" i="4"/>
  <c r="Z128" i="4"/>
  <c r="Y51" i="4"/>
  <c r="Y22" i="4"/>
  <c r="AA22" i="4" s="1"/>
  <c r="AE22" i="4" s="1"/>
  <c r="AB152" i="4"/>
  <c r="AA137" i="4"/>
  <c r="AE137" i="4" s="1"/>
  <c r="AF137" i="4" s="1"/>
  <c r="Z164" i="4"/>
  <c r="K132" i="4"/>
  <c r="K107" i="4"/>
  <c r="AA122" i="4"/>
  <c r="K112" i="4"/>
  <c r="K71" i="4"/>
  <c r="K92" i="4"/>
  <c r="K87" i="4"/>
  <c r="Y81" i="4"/>
  <c r="AB81" i="4" s="1"/>
  <c r="K64" i="4"/>
  <c r="Y91" i="4"/>
  <c r="K26" i="4"/>
  <c r="Z3" i="4"/>
  <c r="AE3" i="4" s="1"/>
  <c r="AF3" i="4" s="1"/>
  <c r="Z15" i="4"/>
  <c r="AE15" i="4" s="1"/>
  <c r="Y9" i="4"/>
  <c r="AA9" i="4" s="1"/>
  <c r="AC31" i="4"/>
  <c r="AC43" i="4"/>
  <c r="Z65" i="4"/>
  <c r="Y23" i="4"/>
  <c r="AB190" i="4"/>
  <c r="AA169" i="4"/>
  <c r="AB84" i="4"/>
  <c r="AC60" i="4"/>
  <c r="AA198" i="4"/>
  <c r="K200" i="4"/>
  <c r="K177" i="4"/>
  <c r="AC169" i="4"/>
  <c r="K169" i="4"/>
  <c r="K157" i="4"/>
  <c r="O157" i="4" s="1"/>
  <c r="K113" i="4"/>
  <c r="Z103" i="4"/>
  <c r="K94" i="4"/>
  <c r="AA129" i="4"/>
  <c r="K124" i="4"/>
  <c r="AA80" i="4"/>
  <c r="AA127" i="4"/>
  <c r="K72" i="4"/>
  <c r="K47" i="4"/>
  <c r="K37" i="4"/>
  <c r="K59" i="4"/>
  <c r="K40" i="4"/>
  <c r="Y131" i="4"/>
  <c r="AA131" i="4" s="1"/>
  <c r="K109" i="4"/>
  <c r="Z7" i="4"/>
  <c r="AA120" i="4"/>
  <c r="AE120" i="4" s="1"/>
  <c r="AF120" i="4" s="1"/>
  <c r="Y200" i="4"/>
  <c r="AC200" i="4" s="1"/>
  <c r="Z186" i="4"/>
  <c r="AE246" i="4" s="1"/>
  <c r="Y157" i="4"/>
  <c r="AA157" i="4" s="1"/>
  <c r="AC122" i="4"/>
  <c r="Y108" i="4"/>
  <c r="K198" i="4"/>
  <c r="O198" i="4" s="1"/>
  <c r="AB185" i="4"/>
  <c r="AA190" i="4"/>
  <c r="AE190" i="4" s="1"/>
  <c r="AF190" i="4" s="1"/>
  <c r="AC175" i="4"/>
  <c r="AA181" i="4"/>
  <c r="K203" i="4"/>
  <c r="O203" i="4" s="1"/>
  <c r="K163" i="4"/>
  <c r="AB173" i="4"/>
  <c r="K154" i="4"/>
  <c r="AA152" i="4"/>
  <c r="K148" i="4"/>
  <c r="AB156" i="4"/>
  <c r="K150" i="4"/>
  <c r="K126" i="4"/>
  <c r="K149" i="4"/>
  <c r="K105" i="4"/>
  <c r="K104" i="4"/>
  <c r="K129" i="4"/>
  <c r="K101" i="4"/>
  <c r="K80" i="4"/>
  <c r="K136" i="4"/>
  <c r="K125" i="4"/>
  <c r="Y93" i="4"/>
  <c r="AA93" i="4" s="1"/>
  <c r="K67" i="4"/>
  <c r="Y145" i="4"/>
  <c r="AA145" i="4" s="1"/>
  <c r="AE205" i="4" s="1"/>
  <c r="AF205" i="4" s="1"/>
  <c r="AC83" i="4"/>
  <c r="AB31" i="4"/>
  <c r="AE11" i="4"/>
  <c r="AD11" i="4" s="1"/>
  <c r="AA143" i="4"/>
  <c r="AC143" i="4"/>
  <c r="AB143" i="4"/>
  <c r="AC195" i="4"/>
  <c r="AA195" i="4"/>
  <c r="AB195" i="4"/>
  <c r="AE179" i="4"/>
  <c r="AF179" i="4" s="1"/>
  <c r="AA202" i="4"/>
  <c r="AB205" i="4"/>
  <c r="L201" i="4"/>
  <c r="AB187" i="4"/>
  <c r="L155" i="4"/>
  <c r="AC151" i="4"/>
  <c r="AB151" i="4"/>
  <c r="AA151" i="4"/>
  <c r="AA164" i="4"/>
  <c r="AC164" i="4"/>
  <c r="AA132" i="4"/>
  <c r="AE192" i="4" s="1"/>
  <c r="AF192" i="4" s="1"/>
  <c r="AB58" i="4"/>
  <c r="AC58" i="4"/>
  <c r="AA58" i="4"/>
  <c r="AE118" i="4" s="1"/>
  <c r="AF118" i="4" s="1"/>
  <c r="L161" i="4"/>
  <c r="L178" i="4"/>
  <c r="L154" i="4"/>
  <c r="L72" i="4"/>
  <c r="L92" i="4"/>
  <c r="L87" i="4"/>
  <c r="L102" i="4"/>
  <c r="L119" i="4"/>
  <c r="O119" i="4" s="1"/>
  <c r="L150" i="4"/>
  <c r="L114" i="4"/>
  <c r="L118" i="4"/>
  <c r="L120" i="4"/>
  <c r="L124" i="4"/>
  <c r="L115" i="4"/>
  <c r="L100" i="4"/>
  <c r="L84" i="4"/>
  <c r="L141" i="4"/>
  <c r="L95" i="4"/>
  <c r="L36" i="4"/>
  <c r="L128" i="4"/>
  <c r="L117" i="4"/>
  <c r="L138" i="4"/>
  <c r="L127" i="4"/>
  <c r="L106" i="4"/>
  <c r="L145" i="4"/>
  <c r="O145" i="4" s="1"/>
  <c r="L144" i="4"/>
  <c r="Z189" i="4"/>
  <c r="Y189" i="4"/>
  <c r="L186" i="4"/>
  <c r="Y191" i="4"/>
  <c r="Z196" i="4"/>
  <c r="L170" i="4"/>
  <c r="O170" i="4" s="1"/>
  <c r="AC192" i="4"/>
  <c r="AB170" i="4"/>
  <c r="AC170" i="4"/>
  <c r="Z143" i="4"/>
  <c r="AA156" i="4"/>
  <c r="AA7" i="4"/>
  <c r="AB7" i="4"/>
  <c r="AC7" i="4"/>
  <c r="L108" i="4"/>
  <c r="L97" i="4"/>
  <c r="O97" i="4" s="1"/>
  <c r="L93" i="4"/>
  <c r="L81" i="4"/>
  <c r="O81" i="4" s="1"/>
  <c r="L63" i="4"/>
  <c r="L103" i="4"/>
  <c r="O103" i="4" s="1"/>
  <c r="L49" i="4"/>
  <c r="L67" i="4"/>
  <c r="L59" i="4"/>
  <c r="L55" i="4"/>
  <c r="L65" i="4"/>
  <c r="L47" i="4"/>
  <c r="L131" i="4"/>
  <c r="L85" i="4"/>
  <c r="L99" i="4"/>
  <c r="O99" i="4" s="1"/>
  <c r="L83" i="4"/>
  <c r="L68" i="4"/>
  <c r="L77" i="4"/>
  <c r="O77" i="4" s="1"/>
  <c r="L96" i="4"/>
  <c r="L6" i="4"/>
  <c r="L50" i="4"/>
  <c r="L64" i="4"/>
  <c r="L13" i="4"/>
  <c r="L7" i="4"/>
  <c r="L51" i="4"/>
  <c r="L56" i="4"/>
  <c r="L89" i="4"/>
  <c r="O89" i="4" s="1"/>
  <c r="L129" i="4"/>
  <c r="L70" i="4"/>
  <c r="O70" i="4" s="1"/>
  <c r="L8" i="4"/>
  <c r="L88" i="4"/>
  <c r="L110" i="4"/>
  <c r="O110" i="4" s="1"/>
  <c r="L58" i="4"/>
  <c r="L24" i="4"/>
  <c r="L86" i="4"/>
  <c r="L18" i="4"/>
  <c r="L125" i="4"/>
  <c r="L73" i="4"/>
  <c r="L90" i="4"/>
  <c r="L190" i="4"/>
  <c r="L188" i="4"/>
  <c r="L152" i="4"/>
  <c r="Y149" i="4"/>
  <c r="Z149" i="4"/>
  <c r="AB132" i="4"/>
  <c r="L94" i="4"/>
  <c r="L189" i="4"/>
  <c r="L200" i="4"/>
  <c r="L181" i="4"/>
  <c r="L169" i="4"/>
  <c r="O169" i="4" s="1"/>
  <c r="L158" i="4"/>
  <c r="L180" i="4"/>
  <c r="L168" i="4"/>
  <c r="O168" i="4" s="1"/>
  <c r="L156" i="4"/>
  <c r="L111" i="4"/>
  <c r="L75" i="4"/>
  <c r="L177" i="4"/>
  <c r="L166" i="4"/>
  <c r="L122" i="4"/>
  <c r="O122" i="4" s="1"/>
  <c r="L107" i="4"/>
  <c r="L9" i="4"/>
  <c r="L78" i="4"/>
  <c r="L146" i="4"/>
  <c r="O146" i="4" s="1"/>
  <c r="L147" i="4"/>
  <c r="O147" i="4" s="1"/>
  <c r="L109" i="4"/>
  <c r="L104" i="4"/>
  <c r="L132" i="4"/>
  <c r="L60" i="4"/>
  <c r="L137" i="4"/>
  <c r="AA196" i="4"/>
  <c r="AB196" i="4"/>
  <c r="L183" i="4"/>
  <c r="AE163" i="4"/>
  <c r="AF163" i="4" s="1"/>
  <c r="L126" i="4"/>
  <c r="AC162" i="4"/>
  <c r="Z159" i="4"/>
  <c r="Y159" i="4"/>
  <c r="AC70" i="4"/>
  <c r="AB70" i="4"/>
  <c r="AA70" i="4"/>
  <c r="AE48" i="4"/>
  <c r="AF48" i="4" s="1"/>
  <c r="AE13" i="4"/>
  <c r="AF13" i="4" s="1"/>
  <c r="AC74" i="4"/>
  <c r="AB74" i="4"/>
  <c r="AA74" i="4"/>
  <c r="AE194" i="4"/>
  <c r="AF194" i="4" s="1"/>
  <c r="L193" i="4"/>
  <c r="AB202" i="4"/>
  <c r="AB188" i="4"/>
  <c r="AC180" i="4"/>
  <c r="AB180" i="4"/>
  <c r="AB192" i="4"/>
  <c r="AB154" i="4"/>
  <c r="AC154" i="4"/>
  <c r="AA154" i="4"/>
  <c r="AB183" i="4"/>
  <c r="AC183" i="4"/>
  <c r="AB42" i="4"/>
  <c r="AA42" i="4"/>
  <c r="AC42" i="4"/>
  <c r="AA33" i="4"/>
  <c r="AB33" i="4"/>
  <c r="AC33" i="4"/>
  <c r="AB56" i="4"/>
  <c r="AA56" i="4"/>
  <c r="AE56" i="4" s="1"/>
  <c r="AF56" i="4" s="1"/>
  <c r="AC56" i="4"/>
  <c r="AA38" i="4"/>
  <c r="AE98" i="4" s="1"/>
  <c r="AF98" i="4" s="1"/>
  <c r="AC38" i="4"/>
  <c r="AB38" i="4"/>
  <c r="AA199" i="4"/>
  <c r="AA178" i="4"/>
  <c r="AB178" i="4"/>
  <c r="AC178" i="4"/>
  <c r="AC168" i="4"/>
  <c r="AA168" i="4"/>
  <c r="L173" i="4"/>
  <c r="O173" i="4" s="1"/>
  <c r="L163" i="4"/>
  <c r="L172" i="4"/>
  <c r="L167" i="4"/>
  <c r="L153" i="4"/>
  <c r="L105" i="4"/>
  <c r="L133" i="4"/>
  <c r="O133" i="4" s="1"/>
  <c r="L140" i="4"/>
  <c r="O140" i="4" s="1"/>
  <c r="L80" i="4"/>
  <c r="L139" i="4"/>
  <c r="L136" i="4"/>
  <c r="L121" i="4"/>
  <c r="L91" i="4"/>
  <c r="L101" i="4"/>
  <c r="L148" i="4"/>
  <c r="L160" i="4"/>
  <c r="O160" i="4" s="1"/>
  <c r="L165" i="4"/>
  <c r="L116" i="4"/>
  <c r="L98" i="4"/>
  <c r="L130" i="4"/>
  <c r="AC144" i="4"/>
  <c r="AB144" i="4"/>
  <c r="AA144" i="4"/>
  <c r="AB79" i="4"/>
  <c r="AC79" i="4"/>
  <c r="AA79" i="4"/>
  <c r="AF11" i="4"/>
  <c r="AA172" i="4"/>
  <c r="AB161" i="4"/>
  <c r="AC161" i="4"/>
  <c r="Z167" i="4"/>
  <c r="Y167" i="4"/>
  <c r="Y153" i="4"/>
  <c r="AA161" i="4"/>
  <c r="L134" i="4"/>
  <c r="L123" i="4"/>
  <c r="O123" i="4" s="1"/>
  <c r="L162" i="4"/>
  <c r="L149" i="4"/>
  <c r="Y136" i="4"/>
  <c r="Z136" i="4"/>
  <c r="AA188" i="4"/>
  <c r="AB194" i="4"/>
  <c r="AE180" i="4"/>
  <c r="AF180" i="4" s="1"/>
  <c r="L176" i="4"/>
  <c r="O176" i="4" s="1"/>
  <c r="Z182" i="4"/>
  <c r="Y182" i="4"/>
  <c r="AB171" i="4"/>
  <c r="AC171" i="4"/>
  <c r="Y150" i="4"/>
  <c r="Z150" i="4"/>
  <c r="L142" i="4"/>
  <c r="AE5" i="4"/>
  <c r="AF5" i="4" s="1"/>
  <c r="AA30" i="4"/>
  <c r="AC30" i="4"/>
  <c r="AB30" i="4"/>
  <c r="Y160" i="4"/>
  <c r="L69" i="4"/>
  <c r="L61" i="4"/>
  <c r="L52" i="4"/>
  <c r="L44" i="4"/>
  <c r="O44" i="4" s="1"/>
  <c r="L48" i="4"/>
  <c r="L45" i="4"/>
  <c r="L43" i="4"/>
  <c r="L46" i="4"/>
  <c r="L40" i="4"/>
  <c r="L5" i="4"/>
  <c r="L33" i="4"/>
  <c r="L35" i="4"/>
  <c r="L29" i="4"/>
  <c r="L10" i="4"/>
  <c r="L21" i="4"/>
  <c r="AC148" i="4"/>
  <c r="AA148" i="4"/>
  <c r="AB120" i="4"/>
  <c r="Z113" i="4"/>
  <c r="K102" i="4"/>
  <c r="AC127" i="4"/>
  <c r="Z129" i="4"/>
  <c r="K118" i="4"/>
  <c r="O118" i="4" s="1"/>
  <c r="AC107" i="4"/>
  <c r="AB107" i="4"/>
  <c r="AC105" i="4"/>
  <c r="AB105" i="4"/>
  <c r="AC103" i="4"/>
  <c r="AB103" i="4"/>
  <c r="AC95" i="4"/>
  <c r="AB95" i="4"/>
  <c r="K90" i="4"/>
  <c r="K73" i="4"/>
  <c r="K121" i="4"/>
  <c r="Y92" i="4"/>
  <c r="AB114" i="4"/>
  <c r="AA108" i="4"/>
  <c r="AE108" i="4" s="1"/>
  <c r="AF108" i="4" s="1"/>
  <c r="AA95" i="4"/>
  <c r="AE95" i="4" s="1"/>
  <c r="AF95" i="4" s="1"/>
  <c r="K61" i="4"/>
  <c r="K86" i="4"/>
  <c r="AA85" i="4"/>
  <c r="Y135" i="4"/>
  <c r="K93" i="4"/>
  <c r="K69" i="4"/>
  <c r="AC53" i="4"/>
  <c r="AB53" i="4"/>
  <c r="K35" i="4"/>
  <c r="AA83" i="4"/>
  <c r="K58" i="4"/>
  <c r="O58" i="4" s="1"/>
  <c r="L54" i="4"/>
  <c r="K13" i="4"/>
  <c r="Y109" i="4"/>
  <c r="K60" i="4"/>
  <c r="L82" i="4"/>
  <c r="K45" i="4"/>
  <c r="L34" i="4"/>
  <c r="AC29" i="4"/>
  <c r="AB29" i="4"/>
  <c r="AB25" i="4"/>
  <c r="AC25" i="4"/>
  <c r="L62" i="4"/>
  <c r="L41" i="4"/>
  <c r="Z74" i="4"/>
  <c r="K56" i="4"/>
  <c r="Z42" i="4"/>
  <c r="K27" i="4"/>
  <c r="AB60" i="4"/>
  <c r="Z31" i="4"/>
  <c r="AE31" i="4" s="1"/>
  <c r="AB90" i="4"/>
  <c r="L23" i="4"/>
  <c r="L26" i="4"/>
  <c r="AC35" i="4"/>
  <c r="K7" i="4"/>
  <c r="AB112" i="4"/>
  <c r="AA112" i="4"/>
  <c r="AA121" i="4"/>
  <c r="AC111" i="4"/>
  <c r="AB111" i="4"/>
  <c r="Y68" i="4"/>
  <c r="Y117" i="4"/>
  <c r="AC64" i="4"/>
  <c r="AE59" i="4"/>
  <c r="AF59" i="4" s="1"/>
  <c r="K48" i="4"/>
  <c r="Z70" i="4"/>
  <c r="AE130" i="4"/>
  <c r="AF130" i="4" s="1"/>
  <c r="AB131" i="4"/>
  <c r="K91" i="4"/>
  <c r="K78" i="4"/>
  <c r="AB78" i="4"/>
  <c r="K42" i="4"/>
  <c r="K33" i="4"/>
  <c r="K10" i="4"/>
  <c r="K54" i="4"/>
  <c r="O54" i="4" s="1"/>
  <c r="Y39" i="4"/>
  <c r="Z39" i="4"/>
  <c r="K20" i="4"/>
  <c r="K12" i="4"/>
  <c r="K4" i="4"/>
  <c r="AC100" i="4"/>
  <c r="L53" i="4"/>
  <c r="AB66" i="4"/>
  <c r="AC55" i="4"/>
  <c r="K46" i="4"/>
  <c r="K38" i="4"/>
  <c r="K11" i="4"/>
  <c r="Y6" i="4"/>
  <c r="AB3" i="4"/>
  <c r="K15" i="4"/>
  <c r="AA29" i="4"/>
  <c r="K9" i="4"/>
  <c r="K30" i="4"/>
  <c r="O112" i="4"/>
  <c r="O124" i="4"/>
  <c r="AB113" i="4"/>
  <c r="AC113" i="4"/>
  <c r="O71" i="4"/>
  <c r="AA114" i="4"/>
  <c r="AC44" i="4"/>
  <c r="Y139" i="4"/>
  <c r="K79" i="4"/>
  <c r="K29" i="4"/>
  <c r="K5" i="4"/>
  <c r="AA50" i="4"/>
  <c r="AB50" i="4"/>
  <c r="L28" i="4"/>
  <c r="L16" i="4"/>
  <c r="AC17" i="4"/>
  <c r="AB17" i="4"/>
  <c r="AC10" i="4"/>
  <c r="AB10" i="4"/>
  <c r="K100" i="4"/>
  <c r="AA53" i="4"/>
  <c r="AB27" i="4"/>
  <c r="K74" i="4"/>
  <c r="L38" i="4"/>
  <c r="K141" i="4"/>
  <c r="K14" i="4"/>
  <c r="AA17" i="4"/>
  <c r="K19" i="4"/>
  <c r="L30" i="4"/>
  <c r="N10" i="3"/>
  <c r="M10" i="3"/>
  <c r="AB121" i="4"/>
  <c r="AC57" i="4"/>
  <c r="AB57" i="4"/>
  <c r="AA111" i="4"/>
  <c r="L79" i="4"/>
  <c r="AC69" i="4"/>
  <c r="L39" i="4"/>
  <c r="L32" i="4"/>
  <c r="Y82" i="4"/>
  <c r="AE32" i="4"/>
  <c r="AF32" i="4" s="1"/>
  <c r="AE28" i="4"/>
  <c r="AF28" i="4" s="1"/>
  <c r="K50" i="4"/>
  <c r="L74" i="4"/>
  <c r="K62" i="4"/>
  <c r="L66" i="4"/>
  <c r="O66" i="4" s="1"/>
  <c r="L14" i="4"/>
  <c r="AE8" i="4"/>
  <c r="AF8" i="4" s="1"/>
  <c r="K3" i="4"/>
  <c r="L19" i="4"/>
  <c r="AE4" i="4"/>
  <c r="AF4" i="4" s="1"/>
  <c r="N11" i="3"/>
  <c r="M11" i="3"/>
  <c r="AC138" i="4"/>
  <c r="O120" i="4"/>
  <c r="AE107" i="4"/>
  <c r="AF107" i="4" s="1"/>
  <c r="AA146" i="4"/>
  <c r="AB146" i="4"/>
  <c r="AB177" i="4"/>
  <c r="AC177" i="4"/>
  <c r="AA81" i="4"/>
  <c r="Y166" i="4"/>
  <c r="AC81" i="4"/>
  <c r="K52" i="4"/>
  <c r="AC37" i="4"/>
  <c r="AB37" i="4"/>
  <c r="K68" i="4"/>
  <c r="AB128" i="4"/>
  <c r="AC131" i="4"/>
  <c r="K85" i="4"/>
  <c r="K84" i="4"/>
  <c r="AC78" i="4"/>
  <c r="K39" i="4"/>
  <c r="K32" i="4"/>
  <c r="K28" i="4"/>
  <c r="K24" i="4"/>
  <c r="AB100" i="4"/>
  <c r="L27" i="4"/>
  <c r="Z58" i="4"/>
  <c r="K41" i="4"/>
  <c r="Z33" i="4"/>
  <c r="K23" i="4"/>
  <c r="K6" i="4"/>
  <c r="AA10" i="4"/>
  <c r="K18" i="4"/>
  <c r="N14" i="3"/>
  <c r="N13" i="3"/>
  <c r="M13" i="3"/>
  <c r="AC8" i="4"/>
  <c r="AB8" i="4"/>
  <c r="AE78" i="4"/>
  <c r="AF78" i="4" s="1"/>
  <c r="AC75" i="4"/>
  <c r="AB75" i="4"/>
  <c r="AA75" i="4"/>
  <c r="AC89" i="4"/>
  <c r="AB89" i="4"/>
  <c r="Z76" i="4"/>
  <c r="Y76" i="4"/>
  <c r="AC47" i="4"/>
  <c r="AB47" i="4"/>
  <c r="AB34" i="4"/>
  <c r="AA34" i="4"/>
  <c r="AE94" i="4" s="1"/>
  <c r="AF94" i="4" s="1"/>
  <c r="AC27" i="4"/>
  <c r="AC21" i="4"/>
  <c r="AB21" i="4"/>
  <c r="K16" i="4"/>
  <c r="K8" i="4"/>
  <c r="AC66" i="4"/>
  <c r="L37" i="4"/>
  <c r="L31" i="4"/>
  <c r="Y141" i="4"/>
  <c r="K51" i="4"/>
  <c r="L42" i="4"/>
  <c r="L11" i="4"/>
  <c r="L15" i="4"/>
  <c r="K22" i="4"/>
  <c r="D13" i="3"/>
  <c r="C13" i="3"/>
  <c r="L25" i="4"/>
  <c r="O25" i="4" s="1"/>
  <c r="Z111" i="4"/>
  <c r="AA116" i="4"/>
  <c r="AE176" i="4" s="1"/>
  <c r="AF176" i="4" s="1"/>
  <c r="AB137" i="4"/>
  <c r="AB129" i="4"/>
  <c r="K127" i="4"/>
  <c r="Z87" i="4"/>
  <c r="Y87" i="4"/>
  <c r="K53" i="4"/>
  <c r="AC61" i="4"/>
  <c r="AB61" i="4"/>
  <c r="K43" i="4"/>
  <c r="K83" i="4"/>
  <c r="AA64" i="4"/>
  <c r="AE124" i="4" s="1"/>
  <c r="AF124" i="4" s="1"/>
  <c r="K49" i="4"/>
  <c r="K21" i="4"/>
  <c r="Y54" i="4"/>
  <c r="Z54" i="4"/>
  <c r="L20" i="4"/>
  <c r="L12" i="4"/>
  <c r="L4" i="4"/>
  <c r="Y45" i="4"/>
  <c r="AC13" i="4"/>
  <c r="AB13" i="4"/>
  <c r="AB5" i="4"/>
  <c r="AC5" i="4"/>
  <c r="AC50" i="4"/>
  <c r="AA37" i="4"/>
  <c r="K31" i="4"/>
  <c r="Z46" i="4"/>
  <c r="Y46" i="4"/>
  <c r="K65" i="4"/>
  <c r="AC41" i="4"/>
  <c r="AA25" i="4"/>
  <c r="N15" i="3"/>
  <c r="AA21" i="4"/>
  <c r="L22" i="4"/>
  <c r="AC16" i="4"/>
  <c r="AB16" i="4"/>
  <c r="N12" i="3"/>
  <c r="L17" i="4"/>
  <c r="AB176" i="4"/>
  <c r="AC176" i="4"/>
  <c r="AA138" i="4"/>
  <c r="O116" i="4"/>
  <c r="AA102" i="4"/>
  <c r="Y125" i="4"/>
  <c r="AA89" i="4"/>
  <c r="Z67" i="4"/>
  <c r="Y67" i="4"/>
  <c r="K36" i="4"/>
  <c r="O36" i="4" s="1"/>
  <c r="Z86" i="4"/>
  <c r="Y86" i="4"/>
  <c r="K166" i="4"/>
  <c r="Y97" i="4"/>
  <c r="AA69" i="4"/>
  <c r="K55" i="4"/>
  <c r="AC36" i="4"/>
  <c r="AB36" i="4"/>
  <c r="AE35" i="4"/>
  <c r="AF35" i="4" s="1"/>
  <c r="K131" i="4"/>
  <c r="AA61" i="4"/>
  <c r="K17" i="4"/>
  <c r="L57" i="4"/>
  <c r="O57" i="4" s="1"/>
  <c r="K82" i="4"/>
  <c r="K34" i="4"/>
  <c r="O34" i="4" s="1"/>
  <c r="AA113" i="4"/>
  <c r="AE173" i="4" s="1"/>
  <c r="AF173" i="4" s="1"/>
  <c r="Z27" i="4"/>
  <c r="AE27" i="4" s="1"/>
  <c r="AA105" i="4"/>
  <c r="Y14" i="4"/>
  <c r="AB11" i="4"/>
  <c r="L3" i="4"/>
  <c r="Y26" i="4"/>
  <c r="Y19" i="4"/>
  <c r="AB15" i="4"/>
  <c r="AA16" i="4"/>
  <c r="AC4" i="4"/>
  <c r="AB4" i="4"/>
  <c r="AE132" i="4" l="1"/>
  <c r="AF132" i="4" s="1"/>
  <c r="AC84" i="4"/>
  <c r="AB204" i="4"/>
  <c r="O183" i="4"/>
  <c r="O201" i="4"/>
  <c r="AC106" i="4"/>
  <c r="AB106" i="4"/>
  <c r="AB71" i="4"/>
  <c r="O193" i="4"/>
  <c r="AB140" i="4"/>
  <c r="AC140" i="4"/>
  <c r="AA140" i="4"/>
  <c r="AE140" i="4" s="1"/>
  <c r="O199" i="4"/>
  <c r="AB73" i="4"/>
  <c r="O185" i="4"/>
  <c r="O191" i="4"/>
  <c r="AD206" i="4"/>
  <c r="AE206" i="4"/>
  <c r="AF206" i="4" s="1"/>
  <c r="AE254" i="4"/>
  <c r="AF254" i="4" s="1"/>
  <c r="AD254" i="4"/>
  <c r="AD118" i="4"/>
  <c r="O182" i="4"/>
  <c r="AE252" i="4"/>
  <c r="AF252" i="4" s="1"/>
  <c r="AE223" i="4"/>
  <c r="AF223" i="4" s="1"/>
  <c r="AE216" i="4"/>
  <c r="AF216" i="4" s="1"/>
  <c r="AD216" i="4"/>
  <c r="AD234" i="4"/>
  <c r="AE234" i="4"/>
  <c r="AF234" i="4" s="1"/>
  <c r="AE248" i="4"/>
  <c r="AF248" i="4" s="1"/>
  <c r="AD248" i="4"/>
  <c r="AE221" i="4"/>
  <c r="AF221" i="4" s="1"/>
  <c r="AE172" i="4"/>
  <c r="AF172" i="4" s="1"/>
  <c r="AE232" i="4"/>
  <c r="AF232" i="4" s="1"/>
  <c r="AC179" i="4"/>
  <c r="AE256" i="4"/>
  <c r="AF256" i="4" s="1"/>
  <c r="AD256" i="4"/>
  <c r="O155" i="4"/>
  <c r="AE262" i="4"/>
  <c r="AF262" i="4" s="1"/>
  <c r="AE181" i="4"/>
  <c r="AF181" i="4" s="1"/>
  <c r="AD241" i="4"/>
  <c r="AE241" i="4"/>
  <c r="AF241" i="4" s="1"/>
  <c r="AD217" i="4"/>
  <c r="AE217" i="4"/>
  <c r="AF217" i="4" s="1"/>
  <c r="AE245" i="4"/>
  <c r="AF245" i="4" s="1"/>
  <c r="AD261" i="4"/>
  <c r="AE261" i="4"/>
  <c r="AF261" i="4" s="1"/>
  <c r="AE238" i="4"/>
  <c r="AF238" i="4" s="1"/>
  <c r="AD207" i="4"/>
  <c r="AE207" i="4"/>
  <c r="AF207" i="4" s="1"/>
  <c r="O179" i="4"/>
  <c r="AE222" i="4"/>
  <c r="AF222" i="4" s="1"/>
  <c r="AD222" i="4"/>
  <c r="AD247" i="4"/>
  <c r="AE247" i="4"/>
  <c r="AF247" i="4" s="1"/>
  <c r="AD231" i="4"/>
  <c r="AF231" i="4"/>
  <c r="AD237" i="4"/>
  <c r="O172" i="4"/>
  <c r="O190" i="4"/>
  <c r="AB179" i="4"/>
  <c r="AE250" i="4"/>
  <c r="AF250" i="4" s="1"/>
  <c r="AD250" i="4"/>
  <c r="AE257" i="4"/>
  <c r="AF257" i="4" s="1"/>
  <c r="AE240" i="4"/>
  <c r="AF240" i="4" s="1"/>
  <c r="AD240" i="4"/>
  <c r="AE229" i="4"/>
  <c r="AF229" i="4" s="1"/>
  <c r="AD239" i="4"/>
  <c r="AE239" i="4"/>
  <c r="AF239" i="4" s="1"/>
  <c r="AB93" i="4"/>
  <c r="AE259" i="4"/>
  <c r="AF259" i="4" s="1"/>
  <c r="AD259" i="4"/>
  <c r="AD173" i="4"/>
  <c r="AE224" i="4"/>
  <c r="AF224" i="4" s="1"/>
  <c r="AE255" i="4"/>
  <c r="AF255" i="4" s="1"/>
  <c r="AE212" i="4"/>
  <c r="AF212" i="4" s="1"/>
  <c r="AD212" i="4"/>
  <c r="AD246" i="4"/>
  <c r="AF246" i="4"/>
  <c r="AE198" i="4"/>
  <c r="AD198" i="4" s="1"/>
  <c r="AE258" i="4"/>
  <c r="AF258" i="4" s="1"/>
  <c r="AE184" i="4"/>
  <c r="AE244" i="4"/>
  <c r="AF244" i="4" s="1"/>
  <c r="O149" i="4"/>
  <c r="AC174" i="4"/>
  <c r="AE154" i="4"/>
  <c r="AF154" i="4" s="1"/>
  <c r="AE214" i="4"/>
  <c r="AF214" i="4" s="1"/>
  <c r="AE211" i="4"/>
  <c r="AF211" i="4" s="1"/>
  <c r="AE235" i="4"/>
  <c r="AF235" i="4" s="1"/>
  <c r="AC93" i="4"/>
  <c r="AD208" i="4"/>
  <c r="AE208" i="4"/>
  <c r="AF208" i="4" s="1"/>
  <c r="O162" i="4"/>
  <c r="AE174" i="4"/>
  <c r="AF174" i="4" s="1"/>
  <c r="AE228" i="4"/>
  <c r="AF228" i="4" s="1"/>
  <c r="AD228" i="4"/>
  <c r="AB174" i="4"/>
  <c r="AE131" i="4"/>
  <c r="AF131" i="4" s="1"/>
  <c r="AE193" i="4"/>
  <c r="AE253" i="4"/>
  <c r="AF253" i="4" s="1"/>
  <c r="AE62" i="4"/>
  <c r="O202" i="4"/>
  <c r="O187" i="4"/>
  <c r="AE61" i="4"/>
  <c r="AF61" i="4" s="1"/>
  <c r="AA71" i="4"/>
  <c r="AE70" i="4" s="1"/>
  <c r="AF70" i="4" s="1"/>
  <c r="O196" i="4"/>
  <c r="AE73" i="4"/>
  <c r="AF73" i="4" s="1"/>
  <c r="O96" i="4"/>
  <c r="AE151" i="4"/>
  <c r="AF151" i="4" s="1"/>
  <c r="AE148" i="4"/>
  <c r="O186" i="4"/>
  <c r="O92" i="4"/>
  <c r="AA204" i="4"/>
  <c r="AE187" i="4"/>
  <c r="AF187" i="4" s="1"/>
  <c r="O144" i="4"/>
  <c r="O95" i="4"/>
  <c r="AD172" i="4"/>
  <c r="AE161" i="4"/>
  <c r="O180" i="4"/>
  <c r="AA200" i="4"/>
  <c r="AE200" i="4" s="1"/>
  <c r="AF200" i="4" s="1"/>
  <c r="AE129" i="4"/>
  <c r="AF129" i="4" s="1"/>
  <c r="O184" i="4"/>
  <c r="AE197" i="4"/>
  <c r="AF197" i="4" s="1"/>
  <c r="O8" i="4"/>
  <c r="O73" i="4"/>
  <c r="AB200" i="4"/>
  <c r="O63" i="4"/>
  <c r="O106" i="4"/>
  <c r="O204" i="4"/>
  <c r="O85" i="4"/>
  <c r="AD107" i="4"/>
  <c r="O40" i="4"/>
  <c r="O94" i="4"/>
  <c r="AB18" i="4"/>
  <c r="O107" i="4"/>
  <c r="AA165" i="4"/>
  <c r="O138" i="4"/>
  <c r="AD41" i="4"/>
  <c r="AE126" i="4"/>
  <c r="AF126" i="4" s="1"/>
  <c r="O134" i="4"/>
  <c r="O158" i="4"/>
  <c r="AC165" i="4"/>
  <c r="AB172" i="4"/>
  <c r="AB199" i="4"/>
  <c r="O104" i="4"/>
  <c r="O128" i="4"/>
  <c r="AC63" i="4"/>
  <c r="AA63" i="4"/>
  <c r="AC101" i="4"/>
  <c r="AA101" i="4"/>
  <c r="AE101" i="4" s="1"/>
  <c r="AF101" i="4" s="1"/>
  <c r="AC40" i="4"/>
  <c r="AB44" i="4"/>
  <c r="O165" i="4"/>
  <c r="O6" i="4"/>
  <c r="O192" i="4"/>
  <c r="O125" i="4"/>
  <c r="O197" i="4"/>
  <c r="O46" i="4"/>
  <c r="O151" i="4"/>
  <c r="O205" i="4"/>
  <c r="O105" i="4"/>
  <c r="O126" i="4"/>
  <c r="O113" i="4"/>
  <c r="O100" i="4"/>
  <c r="O39" i="4"/>
  <c r="O10" i="4"/>
  <c r="AD94" i="4"/>
  <c r="O132" i="4"/>
  <c r="O18" i="4"/>
  <c r="O142" i="4"/>
  <c r="O181" i="4"/>
  <c r="O59" i="4"/>
  <c r="O108" i="4"/>
  <c r="O117" i="4"/>
  <c r="O24" i="4"/>
  <c r="O130" i="4"/>
  <c r="O75" i="4"/>
  <c r="O200" i="4"/>
  <c r="O67" i="4"/>
  <c r="AA24" i="4"/>
  <c r="AE24" i="4" s="1"/>
  <c r="AF24" i="4" s="1"/>
  <c r="AA40" i="4"/>
  <c r="AE100" i="4" s="1"/>
  <c r="O87" i="4"/>
  <c r="O152" i="4"/>
  <c r="O88" i="4"/>
  <c r="O154" i="4"/>
  <c r="O101" i="4"/>
  <c r="O55" i="4"/>
  <c r="O60" i="4"/>
  <c r="O139" i="4"/>
  <c r="O163" i="4"/>
  <c r="O156" i="4"/>
  <c r="O114" i="4"/>
  <c r="O178" i="4"/>
  <c r="O161" i="4"/>
  <c r="AB24" i="4"/>
  <c r="O137" i="4"/>
  <c r="AC20" i="4"/>
  <c r="AA20" i="4"/>
  <c r="AB20" i="4"/>
  <c r="AC203" i="4"/>
  <c r="AA203" i="4"/>
  <c r="O32" i="4"/>
  <c r="O50" i="4"/>
  <c r="AA110" i="4"/>
  <c r="AC110" i="4"/>
  <c r="AB110" i="4"/>
  <c r="O153" i="4"/>
  <c r="AC157" i="4"/>
  <c r="AB203" i="4"/>
  <c r="AA49" i="4"/>
  <c r="AE49" i="4" s="1"/>
  <c r="AF49" i="4" s="1"/>
  <c r="AD28" i="4"/>
  <c r="O177" i="4"/>
  <c r="AB85" i="4"/>
  <c r="AB49" i="4"/>
  <c r="AD8" i="4"/>
  <c r="AD129" i="4"/>
  <c r="O109" i="4"/>
  <c r="O188" i="4"/>
  <c r="O9" i="4"/>
  <c r="AD190" i="4"/>
  <c r="AD137" i="4"/>
  <c r="O111" i="4"/>
  <c r="O47" i="4"/>
  <c r="O64" i="4"/>
  <c r="AA12" i="4"/>
  <c r="AC12" i="4"/>
  <c r="AB12" i="4"/>
  <c r="O131" i="4"/>
  <c r="O15" i="4"/>
  <c r="AD194" i="4"/>
  <c r="AB52" i="4"/>
  <c r="AC52" i="4"/>
  <c r="AA52" i="4"/>
  <c r="O26" i="4"/>
  <c r="O98" i="4"/>
  <c r="O82" i="4"/>
  <c r="O62" i="4"/>
  <c r="O5" i="4"/>
  <c r="O33" i="4"/>
  <c r="O127" i="4"/>
  <c r="O56" i="4"/>
  <c r="O80" i="4"/>
  <c r="O72" i="4"/>
  <c r="O52" i="4"/>
  <c r="O11" i="4"/>
  <c r="O102" i="4"/>
  <c r="O148" i="4"/>
  <c r="O91" i="4"/>
  <c r="O41" i="4"/>
  <c r="O121" i="4"/>
  <c r="AD15" i="4"/>
  <c r="AF15" i="4"/>
  <c r="AF22" i="4"/>
  <c r="AD22" i="4"/>
  <c r="AF198" i="4"/>
  <c r="C28" i="6"/>
  <c r="B6" i="1" s="1"/>
  <c r="AB91" i="4"/>
  <c r="AA91" i="4"/>
  <c r="AC91" i="4"/>
  <c r="O19" i="4"/>
  <c r="AD65" i="4"/>
  <c r="O21" i="4"/>
  <c r="O68" i="4"/>
  <c r="O189" i="4"/>
  <c r="AB51" i="4"/>
  <c r="AC51" i="4"/>
  <c r="AA51" i="4"/>
  <c r="O37" i="4"/>
  <c r="O150" i="4"/>
  <c r="AD43" i="4"/>
  <c r="O45" i="4"/>
  <c r="O17" i="4"/>
  <c r="AD24" i="4"/>
  <c r="O166" i="4"/>
  <c r="O49" i="4"/>
  <c r="O53" i="4"/>
  <c r="AB22" i="4"/>
  <c r="O61" i="4"/>
  <c r="O90" i="4"/>
  <c r="AC145" i="4"/>
  <c r="AB145" i="4"/>
  <c r="AD55" i="4"/>
  <c r="AC22" i="4"/>
  <c r="O48" i="4"/>
  <c r="O7" i="4"/>
  <c r="AD44" i="4"/>
  <c r="AD56" i="4"/>
  <c r="AD119" i="4"/>
  <c r="AD187" i="4"/>
  <c r="O129" i="4"/>
  <c r="AC9" i="4"/>
  <c r="AB9" i="4"/>
  <c r="AA23" i="4"/>
  <c r="AC23" i="4"/>
  <c r="AB23" i="4"/>
  <c r="O83" i="4"/>
  <c r="O51" i="4"/>
  <c r="O84" i="4"/>
  <c r="O13" i="4"/>
  <c r="O167" i="4"/>
  <c r="AB157" i="4"/>
  <c r="AB108" i="4"/>
  <c r="AC108" i="4"/>
  <c r="AD192" i="4"/>
  <c r="AD130" i="4"/>
  <c r="AE90" i="4"/>
  <c r="AF90" i="4" s="1"/>
  <c r="O43" i="4"/>
  <c r="AD78" i="4"/>
  <c r="O136" i="4"/>
  <c r="AD179" i="4"/>
  <c r="AF31" i="4"/>
  <c r="AD31" i="4"/>
  <c r="AF27" i="4"/>
  <c r="AD27" i="4"/>
  <c r="AE36" i="4"/>
  <c r="AF36" i="4" s="1"/>
  <c r="AC67" i="4"/>
  <c r="AB67" i="4"/>
  <c r="AA67" i="4"/>
  <c r="AE127" i="4" s="1"/>
  <c r="AF127" i="4" s="1"/>
  <c r="AE25" i="4"/>
  <c r="AF25" i="4" s="1"/>
  <c r="AB141" i="4"/>
  <c r="AC141" i="4"/>
  <c r="AA141" i="4"/>
  <c r="AE141" i="4" s="1"/>
  <c r="AF141" i="4" s="1"/>
  <c r="AB166" i="4"/>
  <c r="AA166" i="4"/>
  <c r="AC166" i="4"/>
  <c r="AD32" i="4"/>
  <c r="AE96" i="4"/>
  <c r="AF96" i="4" s="1"/>
  <c r="AB182" i="4"/>
  <c r="AC182" i="4"/>
  <c r="AA182" i="4"/>
  <c r="AB167" i="4"/>
  <c r="AC167" i="4"/>
  <c r="AA167" i="4"/>
  <c r="AE57" i="4"/>
  <c r="AF57" i="4" s="1"/>
  <c r="AE72" i="4"/>
  <c r="AF72" i="4" s="1"/>
  <c r="AE196" i="4"/>
  <c r="AF196" i="4" s="1"/>
  <c r="AE164" i="4"/>
  <c r="AF164" i="4" s="1"/>
  <c r="AE58" i="4"/>
  <c r="AF58" i="4" s="1"/>
  <c r="AD95" i="4"/>
  <c r="AE155" i="4"/>
  <c r="AF155" i="4" s="1"/>
  <c r="AC136" i="4"/>
  <c r="AA136" i="4"/>
  <c r="AB136" i="4"/>
  <c r="AA149" i="4"/>
  <c r="AC149" i="4"/>
  <c r="AB149" i="4"/>
  <c r="AC14" i="4"/>
  <c r="AB14" i="4"/>
  <c r="AA14" i="4"/>
  <c r="AE115" i="4"/>
  <c r="AF115" i="4" s="1"/>
  <c r="AE34" i="4"/>
  <c r="AF34" i="4" s="1"/>
  <c r="AC76" i="4"/>
  <c r="AB76" i="4"/>
  <c r="AA76" i="4"/>
  <c r="AD4" i="4"/>
  <c r="AE112" i="4"/>
  <c r="AF112" i="4" s="1"/>
  <c r="AE17" i="4"/>
  <c r="AF17" i="4" s="1"/>
  <c r="AE50" i="4"/>
  <c r="AF50" i="4" s="1"/>
  <c r="AC6" i="4"/>
  <c r="AB6" i="4"/>
  <c r="AA6" i="4"/>
  <c r="AE66" i="4" s="1"/>
  <c r="AA117" i="4"/>
  <c r="AE177" i="4" s="1"/>
  <c r="AF177" i="4" s="1"/>
  <c r="AC117" i="4"/>
  <c r="AB117" i="4"/>
  <c r="O69" i="4"/>
  <c r="AE186" i="4"/>
  <c r="AF186" i="4" s="1"/>
  <c r="AE171" i="4"/>
  <c r="AF171" i="4" s="1"/>
  <c r="AE77" i="4"/>
  <c r="AF77" i="4" s="1"/>
  <c r="AE143" i="4"/>
  <c r="AF143" i="4" s="1"/>
  <c r="AE52" i="4"/>
  <c r="AF52" i="4" s="1"/>
  <c r="AA109" i="4"/>
  <c r="AC109" i="4"/>
  <c r="AB109" i="4"/>
  <c r="AE71" i="4"/>
  <c r="AF71" i="4" s="1"/>
  <c r="AE168" i="4"/>
  <c r="AF168" i="4" s="1"/>
  <c r="O42" i="4"/>
  <c r="AE121" i="4"/>
  <c r="AF121" i="4" s="1"/>
  <c r="O93" i="4"/>
  <c r="AD120" i="4"/>
  <c r="AB189" i="4"/>
  <c r="AA189" i="4"/>
  <c r="AE189" i="4" s="1"/>
  <c r="AC189" i="4"/>
  <c r="AE10" i="4"/>
  <c r="AF10" i="4" s="1"/>
  <c r="AB153" i="4"/>
  <c r="AA153" i="4"/>
  <c r="AC153" i="4"/>
  <c r="AE144" i="4"/>
  <c r="AF144" i="4" s="1"/>
  <c r="AE104" i="4"/>
  <c r="AF104" i="4" s="1"/>
  <c r="AE88" i="4"/>
  <c r="AF88" i="4" s="1"/>
  <c r="O65" i="4"/>
  <c r="AB54" i="4"/>
  <c r="AC54" i="4"/>
  <c r="AA54" i="4"/>
  <c r="AE114" i="4" s="1"/>
  <c r="AF114" i="4" s="1"/>
  <c r="AC82" i="4"/>
  <c r="AA82" i="4"/>
  <c r="AE82" i="4" s="1"/>
  <c r="AF82" i="4" s="1"/>
  <c r="AB82" i="4"/>
  <c r="O14" i="4"/>
  <c r="O4" i="4"/>
  <c r="AE16" i="4"/>
  <c r="AF16" i="4" s="1"/>
  <c r="AB97" i="4"/>
  <c r="AC97" i="4"/>
  <c r="AA97" i="4"/>
  <c r="AE103" i="4"/>
  <c r="AF103" i="4" s="1"/>
  <c r="AB46" i="4"/>
  <c r="AA46" i="4"/>
  <c r="AE106" i="4" s="1"/>
  <c r="AF106" i="4" s="1"/>
  <c r="AC46" i="4"/>
  <c r="O22" i="4"/>
  <c r="AD108" i="4"/>
  <c r="AE9" i="4"/>
  <c r="AF9" i="4" s="1"/>
  <c r="O141" i="4"/>
  <c r="O29" i="4"/>
  <c r="AE113" i="4"/>
  <c r="AF113" i="4" s="1"/>
  <c r="O30" i="4"/>
  <c r="O38" i="4"/>
  <c r="O12" i="4"/>
  <c r="AD148" i="4"/>
  <c r="AF148" i="4"/>
  <c r="AB68" i="4"/>
  <c r="AA68" i="4"/>
  <c r="AE128" i="4" s="1"/>
  <c r="AF128" i="4" s="1"/>
  <c r="AC68" i="4"/>
  <c r="AE111" i="4"/>
  <c r="AF111" i="4" s="1"/>
  <c r="AE83" i="4"/>
  <c r="AF83" i="4" s="1"/>
  <c r="AA135" i="4"/>
  <c r="AB135" i="4"/>
  <c r="AC135" i="4"/>
  <c r="AB92" i="4"/>
  <c r="AC92" i="4"/>
  <c r="AA92" i="4"/>
  <c r="AE92" i="4" s="1"/>
  <c r="AF92" i="4" s="1"/>
  <c r="AC160" i="4"/>
  <c r="AB160" i="4"/>
  <c r="AA160" i="4"/>
  <c r="AE30" i="4"/>
  <c r="AF30" i="4" s="1"/>
  <c r="AD180" i="4"/>
  <c r="AD127" i="4"/>
  <c r="AD13" i="4"/>
  <c r="AD163" i="4"/>
  <c r="AE156" i="4"/>
  <c r="AF156" i="4" s="1"/>
  <c r="AD3" i="4"/>
  <c r="AD132" i="4"/>
  <c r="AA159" i="4"/>
  <c r="AC159" i="4"/>
  <c r="AB159" i="4"/>
  <c r="AE60" i="4"/>
  <c r="AF60" i="4" s="1"/>
  <c r="AD124" i="4"/>
  <c r="O28" i="4"/>
  <c r="O3" i="4"/>
  <c r="O79" i="4"/>
  <c r="O20" i="4"/>
  <c r="O78" i="4"/>
  <c r="O35" i="4"/>
  <c r="AE145" i="4"/>
  <c r="AF145" i="4" s="1"/>
  <c r="AA150" i="4"/>
  <c r="AB150" i="4"/>
  <c r="AC150" i="4"/>
  <c r="AE202" i="4"/>
  <c r="AF202" i="4" s="1"/>
  <c r="AE42" i="4"/>
  <c r="AF42" i="4" s="1"/>
  <c r="AE67" i="4"/>
  <c r="AF67" i="4" s="1"/>
  <c r="AB125" i="4"/>
  <c r="AC125" i="4"/>
  <c r="AA125" i="4"/>
  <c r="AE81" i="4"/>
  <c r="AF81" i="4" s="1"/>
  <c r="AC19" i="4"/>
  <c r="AB19" i="4"/>
  <c r="AA19" i="4"/>
  <c r="AE19" i="4" s="1"/>
  <c r="AF19" i="4" s="1"/>
  <c r="AE116" i="4"/>
  <c r="AF116" i="4" s="1"/>
  <c r="AD35" i="4"/>
  <c r="AB86" i="4"/>
  <c r="AA86" i="4"/>
  <c r="AC86" i="4"/>
  <c r="AE138" i="4"/>
  <c r="AF138" i="4" s="1"/>
  <c r="O31" i="4"/>
  <c r="AC45" i="4"/>
  <c r="AA45" i="4"/>
  <c r="AE105" i="4" s="1"/>
  <c r="AF105" i="4" s="1"/>
  <c r="AB45" i="4"/>
  <c r="AE64" i="4"/>
  <c r="AF64" i="4" s="1"/>
  <c r="AB87" i="4"/>
  <c r="AA87" i="4"/>
  <c r="AE87" i="4" s="1"/>
  <c r="AF87" i="4" s="1"/>
  <c r="AC87" i="4"/>
  <c r="O16" i="4"/>
  <c r="O23" i="4"/>
  <c r="O74" i="4"/>
  <c r="AA139" i="4"/>
  <c r="AE199" i="4" s="1"/>
  <c r="AF199" i="4" s="1"/>
  <c r="AB139" i="4"/>
  <c r="AC139" i="4"/>
  <c r="AD59" i="4"/>
  <c r="AD70" i="4"/>
  <c r="AD47" i="4"/>
  <c r="AE84" i="4"/>
  <c r="AF84" i="4" s="1"/>
  <c r="AD178" i="4"/>
  <c r="AE33" i="4"/>
  <c r="AF33" i="4" s="1"/>
  <c r="AE153" i="4"/>
  <c r="AF153" i="4" s="1"/>
  <c r="AD48" i="4"/>
  <c r="AE133" i="4"/>
  <c r="AF133" i="4" s="1"/>
  <c r="AD176" i="4"/>
  <c r="AE195" i="4"/>
  <c r="AF195" i="4" s="1"/>
  <c r="AD205" i="4"/>
  <c r="AE75" i="4"/>
  <c r="AF75" i="4" s="1"/>
  <c r="AA191" i="4"/>
  <c r="AB191" i="4"/>
  <c r="AC191" i="4"/>
  <c r="AA26" i="4"/>
  <c r="AC26" i="4"/>
  <c r="AB26" i="4"/>
  <c r="AE21" i="4"/>
  <c r="AF21" i="4" s="1"/>
  <c r="AD98" i="4"/>
  <c r="AE29" i="4"/>
  <c r="AF29" i="4" s="1"/>
  <c r="AB39" i="4"/>
  <c r="AC39" i="4"/>
  <c r="AA39" i="4"/>
  <c r="AE99" i="4" s="1"/>
  <c r="AF99" i="4" s="1"/>
  <c r="O27" i="4"/>
  <c r="O86" i="4"/>
  <c r="AE146" i="4"/>
  <c r="AF146" i="4" s="1"/>
  <c r="AD5" i="4"/>
  <c r="AE160" i="4"/>
  <c r="AF160" i="4" s="1"/>
  <c r="AE175" i="4"/>
  <c r="AF175" i="4" s="1"/>
  <c r="AE37" i="4"/>
  <c r="AF37" i="4" s="1"/>
  <c r="AE7" i="4"/>
  <c r="AF7" i="4" s="1"/>
  <c r="AF140" i="4" l="1"/>
  <c r="AD140" i="4"/>
  <c r="AD61" i="4"/>
  <c r="AD181" i="4"/>
  <c r="AD174" i="4"/>
  <c r="AD73" i="4"/>
  <c r="AD154" i="4"/>
  <c r="AD99" i="4"/>
  <c r="AF100" i="4"/>
  <c r="AD100" i="4"/>
  <c r="AF66" i="4"/>
  <c r="AD66" i="4"/>
  <c r="AE159" i="4"/>
  <c r="AF159" i="4" s="1"/>
  <c r="AE219" i="4"/>
  <c r="AF219" i="4" s="1"/>
  <c r="AE213" i="4"/>
  <c r="AF213" i="4" s="1"/>
  <c r="AD106" i="4"/>
  <c r="AE110" i="4"/>
  <c r="AE170" i="4"/>
  <c r="AD131" i="4"/>
  <c r="AD224" i="4"/>
  <c r="AD229" i="4"/>
  <c r="AD238" i="4"/>
  <c r="AE157" i="4"/>
  <c r="AF157" i="4" s="1"/>
  <c r="AD252" i="4"/>
  <c r="AD235" i="4"/>
  <c r="AE169" i="4"/>
  <c r="AF169" i="4" s="1"/>
  <c r="AE182" i="4"/>
  <c r="AE242" i="4"/>
  <c r="AF242" i="4" s="1"/>
  <c r="AE220" i="4"/>
  <c r="AF220" i="4" s="1"/>
  <c r="AE225" i="4"/>
  <c r="AF225" i="4" s="1"/>
  <c r="AD225" i="4"/>
  <c r="AD114" i="4"/>
  <c r="AE251" i="4"/>
  <c r="AF251" i="4" s="1"/>
  <c r="AE167" i="4"/>
  <c r="AF167" i="4" s="1"/>
  <c r="AD227" i="4"/>
  <c r="AE227" i="4"/>
  <c r="AF227" i="4" s="1"/>
  <c r="AD197" i="4"/>
  <c r="AD260" i="4"/>
  <c r="AE260" i="4"/>
  <c r="AF260" i="4" s="1"/>
  <c r="AE204" i="4"/>
  <c r="AF204" i="4" s="1"/>
  <c r="AE264" i="4"/>
  <c r="AF264" i="4" s="1"/>
  <c r="AD264" i="4"/>
  <c r="AE74" i="4"/>
  <c r="AF74" i="4" s="1"/>
  <c r="AD232" i="4"/>
  <c r="AE86" i="4"/>
  <c r="AF86" i="4" s="1"/>
  <c r="AE125" i="4"/>
  <c r="AF125" i="4" s="1"/>
  <c r="AD210" i="4"/>
  <c r="AE210" i="4"/>
  <c r="AF210" i="4" s="1"/>
  <c r="AE249" i="4"/>
  <c r="AF249" i="4" s="1"/>
  <c r="AE147" i="4"/>
  <c r="AF147" i="4" s="1"/>
  <c r="AE263" i="4"/>
  <c r="AF263" i="4" s="1"/>
  <c r="AD263" i="4"/>
  <c r="AD177" i="4"/>
  <c r="AD244" i="4"/>
  <c r="AD245" i="4"/>
  <c r="AD226" i="4"/>
  <c r="AE226" i="4"/>
  <c r="AF226" i="4" s="1"/>
  <c r="AE201" i="4"/>
  <c r="AF201" i="4" s="1"/>
  <c r="AD253" i="4"/>
  <c r="AD211" i="4"/>
  <c r="AF184" i="4"/>
  <c r="AD184" i="4"/>
  <c r="AD255" i="4"/>
  <c r="AD257" i="4"/>
  <c r="AE185" i="4"/>
  <c r="AF185" i="4" s="1"/>
  <c r="AD262" i="4"/>
  <c r="AD221" i="4"/>
  <c r="AD223" i="4"/>
  <c r="AE209" i="4"/>
  <c r="AF209" i="4" s="1"/>
  <c r="AE20" i="4"/>
  <c r="AE80" i="4"/>
  <c r="AF80" i="4" s="1"/>
  <c r="AD128" i="4"/>
  <c r="AE63" i="4"/>
  <c r="AE123" i="4"/>
  <c r="AF123" i="4" s="1"/>
  <c r="AF193" i="4"/>
  <c r="AD193" i="4"/>
  <c r="AD214" i="4"/>
  <c r="AD258" i="4"/>
  <c r="AD87" i="4"/>
  <c r="AD19" i="4"/>
  <c r="AD141" i="4"/>
  <c r="AE136" i="4"/>
  <c r="AF136" i="4" s="1"/>
  <c r="AD159" i="4"/>
  <c r="AE39" i="4"/>
  <c r="AF39" i="4" s="1"/>
  <c r="AE40" i="4"/>
  <c r="AF62" i="4"/>
  <c r="AD62" i="4"/>
  <c r="AE102" i="4"/>
  <c r="AD101" i="4"/>
  <c r="AD151" i="4"/>
  <c r="AD82" i="4"/>
  <c r="AF161" i="4"/>
  <c r="AD161" i="4"/>
  <c r="AD126" i="4"/>
  <c r="AF189" i="4"/>
  <c r="AD189" i="4"/>
  <c r="AD21" i="4"/>
  <c r="AD52" i="4"/>
  <c r="AD133" i="4"/>
  <c r="AD115" i="4"/>
  <c r="AD112" i="4"/>
  <c r="AE51" i="4"/>
  <c r="AF51" i="4" s="1"/>
  <c r="C30" i="6"/>
  <c r="AE12" i="4"/>
  <c r="AF12" i="4" s="1"/>
  <c r="AD81" i="4"/>
  <c r="AD113" i="4"/>
  <c r="AD64" i="4"/>
  <c r="AD30" i="4"/>
  <c r="AD17" i="4"/>
  <c r="AE203" i="4"/>
  <c r="AF203" i="4" s="1"/>
  <c r="AD103" i="4"/>
  <c r="A60" i="4"/>
  <c r="C29" i="6"/>
  <c r="A27" i="4"/>
  <c r="A83" i="4"/>
  <c r="AE23" i="4"/>
  <c r="AF23" i="4" s="1"/>
  <c r="A144" i="4"/>
  <c r="AD71" i="4"/>
  <c r="AD105" i="4"/>
  <c r="AE53" i="4"/>
  <c r="AF53" i="4" s="1"/>
  <c r="AD49" i="4"/>
  <c r="AD200" i="4"/>
  <c r="AD77" i="4"/>
  <c r="AD92" i="4"/>
  <c r="AD147" i="4"/>
  <c r="AD96" i="4"/>
  <c r="A146" i="4"/>
  <c r="AD153" i="4"/>
  <c r="AD164" i="4"/>
  <c r="AD25" i="4"/>
  <c r="AE91" i="4"/>
  <c r="AF91" i="4" s="1"/>
  <c r="A190" i="4"/>
  <c r="AD90" i="4"/>
  <c r="A9" i="4"/>
  <c r="AD116" i="4"/>
  <c r="AD88" i="4"/>
  <c r="AD171" i="4"/>
  <c r="AD33" i="4"/>
  <c r="AD186" i="4"/>
  <c r="AD34" i="4"/>
  <c r="AD72" i="4"/>
  <c r="AD125" i="4"/>
  <c r="A187" i="4"/>
  <c r="AD42" i="4"/>
  <c r="A91" i="4"/>
  <c r="A16" i="4"/>
  <c r="A12" i="4"/>
  <c r="A132" i="4"/>
  <c r="A59" i="4"/>
  <c r="A93" i="4"/>
  <c r="AE135" i="4"/>
  <c r="AF135" i="4" s="1"/>
  <c r="A159" i="4"/>
  <c r="A10" i="4"/>
  <c r="B10" i="4" s="1"/>
  <c r="A63" i="4"/>
  <c r="B63" i="4" s="1"/>
  <c r="AE68" i="4"/>
  <c r="AF68" i="4" s="1"/>
  <c r="A89" i="4"/>
  <c r="A44" i="4"/>
  <c r="A57" i="4"/>
  <c r="A139" i="4"/>
  <c r="A81" i="4"/>
  <c r="AD175" i="4"/>
  <c r="AD146" i="4"/>
  <c r="AE38" i="4"/>
  <c r="AF38" i="4" s="1"/>
  <c r="A39" i="4"/>
  <c r="AD75" i="4"/>
  <c r="A167" i="4"/>
  <c r="AE139" i="4"/>
  <c r="AF139" i="4" s="1"/>
  <c r="A137" i="4"/>
  <c r="AE45" i="4"/>
  <c r="AF45" i="4" s="1"/>
  <c r="A53" i="4"/>
  <c r="B53" i="4" s="1"/>
  <c r="AD67" i="4"/>
  <c r="A48" i="4"/>
  <c r="A28" i="4"/>
  <c r="A177" i="4"/>
  <c r="A82" i="4"/>
  <c r="A174" i="4"/>
  <c r="AE93" i="4"/>
  <c r="AF93" i="4" s="1"/>
  <c r="AD111" i="4"/>
  <c r="A38" i="4"/>
  <c r="A50" i="4"/>
  <c r="A101" i="4"/>
  <c r="AE97" i="4"/>
  <c r="AF97" i="4" s="1"/>
  <c r="A14" i="4"/>
  <c r="AE152" i="4"/>
  <c r="AF152" i="4" s="1"/>
  <c r="A109" i="4"/>
  <c r="A58" i="4"/>
  <c r="B58" i="4" s="1"/>
  <c r="A70" i="4"/>
  <c r="AE109" i="4"/>
  <c r="AF109" i="4" s="1"/>
  <c r="AE117" i="4"/>
  <c r="AF117" i="4" s="1"/>
  <c r="AD50" i="4"/>
  <c r="AD155" i="4"/>
  <c r="AD196" i="4"/>
  <c r="AE165" i="4"/>
  <c r="AF165" i="4" s="1"/>
  <c r="A100" i="4"/>
  <c r="AE142" i="4"/>
  <c r="AF142" i="4" s="1"/>
  <c r="A183" i="4"/>
  <c r="A188" i="4"/>
  <c r="A37" i="4"/>
  <c r="A178" i="4"/>
  <c r="A80" i="4"/>
  <c r="A61" i="4"/>
  <c r="B61" i="4" s="1"/>
  <c r="A45" i="4"/>
  <c r="B45" i="4" s="1"/>
  <c r="A43" i="4"/>
  <c r="A171" i="4"/>
  <c r="A102" i="4"/>
  <c r="A87" i="4"/>
  <c r="A193" i="4"/>
  <c r="A136" i="4"/>
  <c r="A153" i="4"/>
  <c r="A202" i="4"/>
  <c r="A152" i="4"/>
  <c r="A74" i="4"/>
  <c r="A110" i="4"/>
  <c r="A166" i="4"/>
  <c r="A172" i="4"/>
  <c r="A78" i="4"/>
  <c r="A6" i="4"/>
  <c r="B6" i="4" s="1"/>
  <c r="A201" i="4"/>
  <c r="A30" i="4"/>
  <c r="A84" i="4"/>
  <c r="A21" i="4"/>
  <c r="AE188" i="4"/>
  <c r="AF188" i="4" s="1"/>
  <c r="A99" i="4"/>
  <c r="A160" i="4"/>
  <c r="A142" i="4"/>
  <c r="A33" i="4"/>
  <c r="B33" i="4" s="1"/>
  <c r="A148" i="4"/>
  <c r="A134" i="4"/>
  <c r="A123" i="4"/>
  <c r="A19" i="4"/>
  <c r="A40" i="4"/>
  <c r="A130" i="4"/>
  <c r="A114" i="4"/>
  <c r="A154" i="4"/>
  <c r="A34" i="4"/>
  <c r="A126" i="4"/>
  <c r="A85" i="4"/>
  <c r="A67" i="4"/>
  <c r="A64" i="4"/>
  <c r="A36" i="4"/>
  <c r="A105" i="4"/>
  <c r="A31" i="4"/>
  <c r="B31" i="4" s="1"/>
  <c r="A145" i="4"/>
  <c r="AE149" i="4"/>
  <c r="AF149" i="4" s="1"/>
  <c r="A20" i="4"/>
  <c r="A106" i="4"/>
  <c r="A135" i="4"/>
  <c r="A88" i="4"/>
  <c r="A24" i="4"/>
  <c r="B24" i="4" s="1"/>
  <c r="AD79" i="4"/>
  <c r="AE79" i="4"/>
  <c r="AF79" i="4" s="1"/>
  <c r="AD199" i="4"/>
  <c r="AD121" i="4"/>
  <c r="A147" i="4"/>
  <c r="AE6" i="4"/>
  <c r="AF6" i="4" s="1"/>
  <c r="A68" i="4"/>
  <c r="A90" i="4"/>
  <c r="A118" i="4"/>
  <c r="A150" i="4"/>
  <c r="A129" i="4"/>
  <c r="A133" i="4"/>
  <c r="A25" i="4"/>
  <c r="A97" i="4"/>
  <c r="A170" i="4"/>
  <c r="A65" i="4"/>
  <c r="B65" i="4" s="1"/>
  <c r="A138" i="4"/>
  <c r="A5" i="4"/>
  <c r="A196" i="4"/>
  <c r="A185" i="4"/>
  <c r="A73" i="4"/>
  <c r="AE26" i="4"/>
  <c r="AF26" i="4" s="1"/>
  <c r="A200" i="4"/>
  <c r="A120" i="4"/>
  <c r="A107" i="4"/>
  <c r="AD160" i="4"/>
  <c r="A86" i="4"/>
  <c r="AD29" i="4"/>
  <c r="A155" i="4"/>
  <c r="A197" i="4"/>
  <c r="A46" i="4"/>
  <c r="AE89" i="4"/>
  <c r="AF89" i="4" s="1"/>
  <c r="AD138" i="4"/>
  <c r="AE18" i="4"/>
  <c r="AF18" i="4" s="1"/>
  <c r="A198" i="4"/>
  <c r="AD202" i="4"/>
  <c r="A121" i="4"/>
  <c r="A79" i="4"/>
  <c r="A49" i="4"/>
  <c r="AE158" i="4"/>
  <c r="AF158" i="4" s="1"/>
  <c r="AD158" i="4"/>
  <c r="AE69" i="4"/>
  <c r="AF69" i="4" s="1"/>
  <c r="AD9" i="4"/>
  <c r="AE46" i="4"/>
  <c r="AF46" i="4" s="1"/>
  <c r="A131" i="4"/>
  <c r="AD104" i="4"/>
  <c r="AD10" i="4"/>
  <c r="A125" i="4"/>
  <c r="A47" i="4"/>
  <c r="B47" i="4" s="1"/>
  <c r="AD168" i="4"/>
  <c r="A51" i="4"/>
  <c r="A18" i="4"/>
  <c r="A115" i="4"/>
  <c r="AD58" i="4"/>
  <c r="A149" i="4"/>
  <c r="A94" i="4"/>
  <c r="AD36" i="4"/>
  <c r="A168" i="4"/>
  <c r="A161" i="4"/>
  <c r="AE122" i="4"/>
  <c r="AF122" i="4" s="1"/>
  <c r="A103" i="4"/>
  <c r="A3" i="4"/>
  <c r="A192" i="4"/>
  <c r="A203" i="4"/>
  <c r="A194" i="4"/>
  <c r="A76" i="4"/>
  <c r="A204" i="4"/>
  <c r="A151" i="4"/>
  <c r="A113" i="4"/>
  <c r="A184" i="4"/>
  <c r="A195" i="4"/>
  <c r="A179" i="4"/>
  <c r="A199" i="4"/>
  <c r="A143" i="4"/>
  <c r="A191" i="4"/>
  <c r="A182" i="4"/>
  <c r="A164" i="4"/>
  <c r="A116" i="4"/>
  <c r="AE162" i="4"/>
  <c r="AF162" i="4" s="1"/>
  <c r="A92" i="4"/>
  <c r="A205" i="4"/>
  <c r="AD16" i="4"/>
  <c r="AE54" i="4"/>
  <c r="AF54" i="4" s="1"/>
  <c r="A156" i="4"/>
  <c r="A15" i="4"/>
  <c r="A122" i="4"/>
  <c r="A42" i="4"/>
  <c r="B42" i="4" s="1"/>
  <c r="AD143" i="4"/>
  <c r="AE76" i="4"/>
  <c r="AF76" i="4" s="1"/>
  <c r="A55" i="4"/>
  <c r="AE150" i="4"/>
  <c r="AF150" i="4" s="1"/>
  <c r="AE166" i="4"/>
  <c r="AF166" i="4" s="1"/>
  <c r="A77" i="4"/>
  <c r="A162" i="4"/>
  <c r="A181" i="4"/>
  <c r="A158" i="4"/>
  <c r="A124" i="4"/>
  <c r="AE191" i="4"/>
  <c r="AF191" i="4" s="1"/>
  <c r="A32" i="4"/>
  <c r="A117" i="4"/>
  <c r="A29" i="4"/>
  <c r="A41" i="4"/>
  <c r="B41" i="4" s="1"/>
  <c r="A11" i="4"/>
  <c r="B11" i="4" s="1"/>
  <c r="A69" i="4"/>
  <c r="A112" i="4"/>
  <c r="A17" i="4"/>
  <c r="A175" i="4"/>
  <c r="AD57" i="4"/>
  <c r="A180" i="4"/>
  <c r="A13" i="4"/>
  <c r="B13" i="4" s="1"/>
  <c r="A128" i="4"/>
  <c r="A189" i="4"/>
  <c r="A169" i="4"/>
  <c r="A165" i="4"/>
  <c r="AD195" i="4"/>
  <c r="A72" i="4"/>
  <c r="A186" i="4"/>
  <c r="AD145" i="4"/>
  <c r="A119" i="4"/>
  <c r="A176" i="4"/>
  <c r="AD134" i="4"/>
  <c r="AE134" i="4"/>
  <c r="AF134" i="4" s="1"/>
  <c r="AD7" i="4"/>
  <c r="AD37" i="4"/>
  <c r="A7" i="4"/>
  <c r="A75" i="4"/>
  <c r="A26" i="4"/>
  <c r="B26" i="4" s="1"/>
  <c r="AD84" i="4"/>
  <c r="A23" i="4"/>
  <c r="B23" i="4" s="1"/>
  <c r="AE85" i="4"/>
  <c r="AF85" i="4" s="1"/>
  <c r="A8" i="4"/>
  <c r="A163" i="4"/>
  <c r="A98" i="4"/>
  <c r="A35" i="4"/>
  <c r="B35" i="4" s="1"/>
  <c r="A52" i="4"/>
  <c r="B52" i="4" s="1"/>
  <c r="AD60" i="4"/>
  <c r="A54" i="4"/>
  <c r="B54" i="4" s="1"/>
  <c r="AD156" i="4"/>
  <c r="AD83" i="4"/>
  <c r="A141" i="4"/>
  <c r="A22" i="4"/>
  <c r="A4" i="4"/>
  <c r="B4" i="4" s="1"/>
  <c r="AD144" i="4"/>
  <c r="A127" i="4"/>
  <c r="A108" i="4"/>
  <c r="B108" i="4" s="1"/>
  <c r="A140" i="4"/>
  <c r="A71" i="4"/>
  <c r="A95" i="4"/>
  <c r="A157" i="4"/>
  <c r="A62" i="4"/>
  <c r="B62" i="4" s="1"/>
  <c r="AE14" i="4"/>
  <c r="AF14" i="4" s="1"/>
  <c r="A173" i="4"/>
  <c r="AE183" i="4"/>
  <c r="AF183" i="4" s="1"/>
  <c r="A56" i="4"/>
  <c r="A96" i="4"/>
  <c r="A111" i="4"/>
  <c r="A104" i="4"/>
  <c r="A66" i="4"/>
  <c r="B66" i="4" s="1"/>
  <c r="AD201" i="4" l="1"/>
  <c r="B181" i="4"/>
  <c r="AD167" i="4"/>
  <c r="AD86" i="4"/>
  <c r="AF20" i="4"/>
  <c r="AD20" i="4"/>
  <c r="AD123" i="4"/>
  <c r="AD185" i="4"/>
  <c r="AF182" i="4"/>
  <c r="AD182" i="4"/>
  <c r="AF63" i="4"/>
  <c r="AD63" i="4"/>
  <c r="AF170" i="4"/>
  <c r="AD170" i="4"/>
  <c r="AD157" i="4"/>
  <c r="AD169" i="4"/>
  <c r="AF110" i="4"/>
  <c r="AD110" i="4"/>
  <c r="AD74" i="4"/>
  <c r="AD80" i="4"/>
  <c r="AD220" i="4"/>
  <c r="AD204" i="4"/>
  <c r="AD213" i="4"/>
  <c r="AD249" i="4"/>
  <c r="AD136" i="4"/>
  <c r="AD209" i="4"/>
  <c r="AD251" i="4"/>
  <c r="AD242" i="4"/>
  <c r="AD219" i="4"/>
  <c r="AF102" i="4"/>
  <c r="AD102" i="4"/>
  <c r="AD51" i="4"/>
  <c r="B16" i="4"/>
  <c r="B27" i="4"/>
  <c r="AF40" i="4"/>
  <c r="AD40" i="4"/>
  <c r="AD39" i="4"/>
  <c r="B22" i="4"/>
  <c r="B29" i="4"/>
  <c r="B49" i="4"/>
  <c r="B46" i="4"/>
  <c r="B68" i="4"/>
  <c r="B36" i="4"/>
  <c r="B60" i="4"/>
  <c r="AD166" i="4"/>
  <c r="B15" i="4"/>
  <c r="B64" i="4"/>
  <c r="B40" i="4"/>
  <c r="B14" i="4"/>
  <c r="B8" i="4"/>
  <c r="B32" i="4"/>
  <c r="B25" i="4"/>
  <c r="B67" i="4"/>
  <c r="B19" i="4"/>
  <c r="B37" i="4"/>
  <c r="B57" i="4"/>
  <c r="B9" i="4"/>
  <c r="B7" i="4"/>
  <c r="B56" i="4"/>
  <c r="B140" i="4"/>
  <c r="B165" i="4"/>
  <c r="B17" i="4"/>
  <c r="B191" i="4"/>
  <c r="B204" i="4"/>
  <c r="AD122" i="4"/>
  <c r="B18" i="4"/>
  <c r="B185" i="4"/>
  <c r="B133" i="4"/>
  <c r="B20" i="4"/>
  <c r="B85" i="4"/>
  <c r="B123" i="4"/>
  <c r="B21" i="4"/>
  <c r="B110" i="4"/>
  <c r="B102" i="4"/>
  <c r="B188" i="4"/>
  <c r="B101" i="4"/>
  <c r="B28" i="4"/>
  <c r="B44" i="4"/>
  <c r="B59" i="4"/>
  <c r="B144" i="4"/>
  <c r="B51" i="4"/>
  <c r="B84" i="4"/>
  <c r="B50" i="4"/>
  <c r="B48" i="4"/>
  <c r="B39" i="4"/>
  <c r="B169" i="4"/>
  <c r="B55" i="4"/>
  <c r="B69" i="4"/>
  <c r="B5" i="4"/>
  <c r="B34" i="4"/>
  <c r="B30" i="4"/>
  <c r="B43" i="4"/>
  <c r="B38" i="4"/>
  <c r="B12" i="4"/>
  <c r="B134" i="4"/>
  <c r="B183" i="4"/>
  <c r="B190" i="4"/>
  <c r="B92" i="4"/>
  <c r="B179" i="4"/>
  <c r="B203" i="4"/>
  <c r="B107" i="4"/>
  <c r="B138" i="4"/>
  <c r="B118" i="4"/>
  <c r="B154" i="4"/>
  <c r="B201" i="4"/>
  <c r="B202" i="4"/>
  <c r="B100" i="4"/>
  <c r="B161" i="4"/>
  <c r="B86" i="4"/>
  <c r="B126" i="4"/>
  <c r="B74" i="4"/>
  <c r="B89" i="4"/>
  <c r="B127" i="4"/>
  <c r="B168" i="4"/>
  <c r="B150" i="4"/>
  <c r="B148" i="4"/>
  <c r="B70" i="4"/>
  <c r="B83" i="4"/>
  <c r="B128" i="4"/>
  <c r="B75" i="4"/>
  <c r="B162" i="4"/>
  <c r="B195" i="4"/>
  <c r="B192" i="4"/>
  <c r="B94" i="4"/>
  <c r="B125" i="4"/>
  <c r="B120" i="4"/>
  <c r="E8" i="5" s="1"/>
  <c r="B90" i="4"/>
  <c r="B105" i="4"/>
  <c r="B114" i="4"/>
  <c r="B142" i="4"/>
  <c r="B153" i="4"/>
  <c r="B109" i="4"/>
  <c r="B91" i="4"/>
  <c r="G9" i="5" s="1"/>
  <c r="B132" i="4"/>
  <c r="B176" i="4"/>
  <c r="B158" i="4"/>
  <c r="B199" i="4"/>
  <c r="B152" i="4"/>
  <c r="B116" i="4"/>
  <c r="B149" i="4"/>
  <c r="B200" i="4"/>
  <c r="B170" i="4"/>
  <c r="B88" i="4"/>
  <c r="B130" i="4"/>
  <c r="B160" i="4"/>
  <c r="B78" i="4"/>
  <c r="B136" i="4"/>
  <c r="B80" i="4"/>
  <c r="B174" i="4"/>
  <c r="B137" i="4"/>
  <c r="B81" i="4"/>
  <c r="B159" i="4"/>
  <c r="B112" i="4"/>
  <c r="B143" i="4"/>
  <c r="B198" i="4"/>
  <c r="B129" i="4"/>
  <c r="B171" i="4"/>
  <c r="B173" i="4"/>
  <c r="B189" i="4"/>
  <c r="B205" i="4"/>
  <c r="B194" i="4"/>
  <c r="B145" i="4"/>
  <c r="B119" i="4"/>
  <c r="B157" i="4"/>
  <c r="B186" i="4"/>
  <c r="B122" i="4"/>
  <c r="B111" i="4"/>
  <c r="B95" i="4"/>
  <c r="B141" i="4"/>
  <c r="B163" i="4"/>
  <c r="B72" i="4"/>
  <c r="B117" i="4"/>
  <c r="B164" i="4"/>
  <c r="B113" i="4"/>
  <c r="B103" i="4"/>
  <c r="B79" i="4"/>
  <c r="B197" i="4"/>
  <c r="B97" i="4"/>
  <c r="B135" i="4"/>
  <c r="B99" i="4"/>
  <c r="B172" i="4"/>
  <c r="B193" i="4"/>
  <c r="B178" i="4"/>
  <c r="B82" i="4"/>
  <c r="B139" i="4"/>
  <c r="B187" i="4"/>
  <c r="B146" i="4"/>
  <c r="B124" i="4"/>
  <c r="B76" i="4"/>
  <c r="F6" i="5" s="1"/>
  <c r="B196" i="4"/>
  <c r="B104" i="4"/>
  <c r="B98" i="4"/>
  <c r="B180" i="4"/>
  <c r="B77" i="4"/>
  <c r="B184" i="4"/>
  <c r="B96" i="4"/>
  <c r="B71" i="4"/>
  <c r="B175" i="4"/>
  <c r="B156" i="4"/>
  <c r="B182" i="4"/>
  <c r="B151" i="4"/>
  <c r="B115" i="4"/>
  <c r="B131" i="4"/>
  <c r="B121" i="4"/>
  <c r="B155" i="4"/>
  <c r="B73" i="4"/>
  <c r="B147" i="4"/>
  <c r="B106" i="4"/>
  <c r="B166" i="4"/>
  <c r="B87" i="4"/>
  <c r="B177" i="4"/>
  <c r="B167" i="4"/>
  <c r="B93" i="4"/>
  <c r="AD139" i="4"/>
  <c r="AD203" i="4"/>
  <c r="AD12" i="4"/>
  <c r="AD93" i="4"/>
  <c r="AD91" i="4"/>
  <c r="AD46" i="4"/>
  <c r="AD109" i="4"/>
  <c r="AD53" i="4"/>
  <c r="AD183" i="4"/>
  <c r="AD85" i="4"/>
  <c r="AD165" i="4"/>
  <c r="AD188" i="4"/>
  <c r="AD117" i="4"/>
  <c r="AD23" i="4"/>
  <c r="G8" i="5"/>
  <c r="AD14" i="4"/>
  <c r="AD150" i="4"/>
  <c r="E33" i="3"/>
  <c r="D33" i="3"/>
  <c r="D31" i="3"/>
  <c r="D29" i="3"/>
  <c r="D27" i="3"/>
  <c r="C33" i="3"/>
  <c r="C31" i="3"/>
  <c r="C29" i="3"/>
  <c r="C27" i="3"/>
  <c r="F32" i="3"/>
  <c r="D32" i="3"/>
  <c r="D30" i="3"/>
  <c r="D28" i="3"/>
  <c r="D26" i="3"/>
  <c r="E31" i="3"/>
  <c r="C28" i="3"/>
  <c r="F30" i="3"/>
  <c r="F27" i="3"/>
  <c r="E30" i="3"/>
  <c r="E27" i="3"/>
  <c r="C30" i="3"/>
  <c r="F26" i="3"/>
  <c r="F33" i="3"/>
  <c r="F29" i="3"/>
  <c r="E26" i="3"/>
  <c r="E32" i="3"/>
  <c r="E29" i="3"/>
  <c r="C26" i="3"/>
  <c r="C32" i="3"/>
  <c r="F28" i="3"/>
  <c r="F31" i="3"/>
  <c r="E28" i="3"/>
  <c r="B3" i="4"/>
  <c r="AD18" i="4"/>
  <c r="F9" i="5"/>
  <c r="AD97" i="4"/>
  <c r="AD68" i="4"/>
  <c r="AD54" i="4"/>
  <c r="AD76" i="4"/>
  <c r="AD89" i="4"/>
  <c r="AD149" i="4"/>
  <c r="AD152" i="4"/>
  <c r="AD135" i="4"/>
  <c r="AD191" i="4"/>
  <c r="AD162" i="4"/>
  <c r="AD69" i="4"/>
  <c r="AD26" i="4"/>
  <c r="AD6" i="4"/>
  <c r="AD142" i="4"/>
  <c r="AD45" i="4"/>
  <c r="AD38" i="4"/>
  <c r="G5" i="5" l="1"/>
  <c r="E9" i="5"/>
  <c r="F4" i="5"/>
  <c r="E6" i="5"/>
  <c r="G6" i="5"/>
  <c r="E5" i="5"/>
  <c r="F8" i="5"/>
  <c r="E4" i="5"/>
  <c r="F5" i="5"/>
  <c r="G4" i="5"/>
  <c r="E5" i="3"/>
  <c r="V4" i="3"/>
  <c r="V3" i="3"/>
  <c r="V2" i="3"/>
  <c r="F7" i="5"/>
  <c r="E7" i="5"/>
  <c r="G7" i="5"/>
  <c r="I10" i="3" l="1"/>
  <c r="H10" i="3"/>
  <c r="C6" i="1"/>
  <c r="H11" i="3"/>
  <c r="I11" i="3"/>
  <c r="I12" i="3"/>
  <c r="H12" i="3"/>
</calcChain>
</file>

<file path=xl/sharedStrings.xml><?xml version="1.0" encoding="utf-8"?>
<sst xmlns="http://schemas.openxmlformats.org/spreadsheetml/2006/main" count="1415" uniqueCount="686">
  <si>
    <t>portales certificados</t>
  </si>
  <si>
    <t>Fases 1 / 2 / 3</t>
  </si>
  <si>
    <t>C1 · Consumo EP individual</t>
  </si>
  <si>
    <t>55%</t>
  </si>
  <si>
    <t>C2 · Vulnerabilidad económica</t>
  </si>
  <si>
    <t>22%</t>
  </si>
  <si>
    <t>C3 · Vulnerabilidad social</t>
  </si>
  <si>
    <t>14%</t>
  </si>
  <si>
    <t>C4 · Vuln. demográfica (envejecimiento)</t>
  </si>
  <si>
    <t>9%</t>
  </si>
  <si>
    <t xml:space="preserve">  ¿POR QUÉ ESTAS ACTUACIONES?</t>
  </si>
  <si>
    <t>Cal. G / F</t>
  </si>
  <si>
    <t>Cal. E</t>
  </si>
  <si>
    <t>Envolvente parcial: SATE fachada + carpinterías doble + instalación fotovoltaica.</t>
  </si>
  <si>
    <t>Cal. D</t>
  </si>
  <si>
    <t>Mantenimiento de envolvente + instalación fotovoltaica en cubierta.</t>
  </si>
  <si>
    <t>Accesibilidad</t>
  </si>
  <si>
    <t>No hay dato por edificio de si ya tiene ascensor: se marca "valorar ascensor (verificar)" solo en 4+ plantas, a confirmar en campo.</t>
  </si>
  <si>
    <t xml:space="preserve">  LEYENDA DE COLORES</t>
  </si>
  <si>
    <t>G</t>
  </si>
  <si>
    <t>F</t>
  </si>
  <si>
    <t>E</t>
  </si>
  <si>
    <t>D</t>
  </si>
  <si>
    <t>Fases:</t>
  </si>
  <si>
    <t>F1</t>
  </si>
  <si>
    <t>F2</t>
  </si>
  <si>
    <t>F3</t>
  </si>
  <si>
    <t>Azul = editable · Verde = enlace entre hojas · Negro = fórmula · Barras/escalas = magnitud relativa</t>
  </si>
  <si>
    <t>Barrio (contorno del mapa) ▼</t>
  </si>
  <si>
    <t>Pajarillos Bajos</t>
  </si>
  <si>
    <t>📇  INVENTARIO DE EDIFICIOS — entrada de datos</t>
  </si>
  <si>
    <t>⬇  Añada un edificio para calcular el RANKING.</t>
  </si>
  <si>
    <t>#</t>
  </si>
  <si>
    <t>Dirección</t>
  </si>
  <si>
    <t>Ref. catastral</t>
  </si>
  <si>
    <t>Sección</t>
  </si>
  <si>
    <t>Certificado</t>
  </si>
  <si>
    <t>Cal.</t>
  </si>
  <si>
    <t>EP
kWh/m²</t>
  </si>
  <si>
    <t>CO₂
kg/m²</t>
  </si>
  <si>
    <t>Dcal
kWh/m²</t>
  </si>
  <si>
    <t>Año</t>
  </si>
  <si>
    <t>Plantas</t>
  </si>
  <si>
    <t>Sup.cub
m²</t>
  </si>
  <si>
    <t>Sup.fach
m² (auto)</t>
  </si>
  <si>
    <t>Rad.IGN</t>
  </si>
  <si>
    <t>Lat</t>
  </si>
  <si>
    <t>Lon</t>
  </si>
  <si>
    <t>C/ Salud, 19</t>
  </si>
  <si>
    <t>7625401UM5172F</t>
  </si>
  <si>
    <t>4718606026</t>
  </si>
  <si>
    <t>Sí</t>
  </si>
  <si>
    <t>C/ Pavo Real, 21</t>
  </si>
  <si>
    <t>7625404UM5172F</t>
  </si>
  <si>
    <t>C/ Salud, 17</t>
  </si>
  <si>
    <t>C/ Halcón, 2</t>
  </si>
  <si>
    <t>7925705UM5172F</t>
  </si>
  <si>
    <t>4718606023</t>
  </si>
  <si>
    <t>C/ Rincón del Esgueva, 13</t>
  </si>
  <si>
    <t>7726409UM5172F</t>
  </si>
  <si>
    <t>C/ Calandria, 4</t>
  </si>
  <si>
    <t>7925710UM5172F</t>
  </si>
  <si>
    <t>C/ Pavo Real, 17</t>
  </si>
  <si>
    <t>7625406UM5172F</t>
  </si>
  <si>
    <t>C/ Marabú, 1</t>
  </si>
  <si>
    <t>7924213UM5172D</t>
  </si>
  <si>
    <t>4718606024</t>
  </si>
  <si>
    <t>C/ Águila, 20</t>
  </si>
  <si>
    <t>7824519UM5172D</t>
  </si>
  <si>
    <t>C/ Albatros, 1</t>
  </si>
  <si>
    <t>7724226UM5172D</t>
  </si>
  <si>
    <t>C/ Papagayo, 6</t>
  </si>
  <si>
    <t>7825411UM5172F</t>
  </si>
  <si>
    <t>C/ Villabáñez, 18</t>
  </si>
  <si>
    <t>7824502UM5172D</t>
  </si>
  <si>
    <t>C/ Cuclillo, 3</t>
  </si>
  <si>
    <t>7724216UM5172D</t>
  </si>
  <si>
    <t>C/ Águila, 21</t>
  </si>
  <si>
    <t>7724217UM5172D</t>
  </si>
  <si>
    <t>C/ Pavo Real, 19</t>
  </si>
  <si>
    <t>7625405UM5172F</t>
  </si>
  <si>
    <t>C/ Zorzal, 14</t>
  </si>
  <si>
    <t>7724221UM5172D</t>
  </si>
  <si>
    <t>C/ Oropéndola, 4</t>
  </si>
  <si>
    <t>7825407UM5172F</t>
  </si>
  <si>
    <t>C/ Zorzal, 16</t>
  </si>
  <si>
    <t>7724205UM5172D</t>
  </si>
  <si>
    <t>C/ Periquito, 4</t>
  </si>
  <si>
    <t>7724204UM5172D</t>
  </si>
  <si>
    <t>C/ Águila, 25</t>
  </si>
  <si>
    <t>7724209UM5172D</t>
  </si>
  <si>
    <t>C/ Paloma, 7</t>
  </si>
  <si>
    <t>7724215UM5172D</t>
  </si>
  <si>
    <t>C/ Grulla, 2</t>
  </si>
  <si>
    <t>7925708UM5172F</t>
  </si>
  <si>
    <t>C/ Paloma, 1</t>
  </si>
  <si>
    <t>7724212UM5172D</t>
  </si>
  <si>
    <t>C/ Zorzal, 18</t>
  </si>
  <si>
    <t>7724206UM5172D</t>
  </si>
  <si>
    <t>C/ Pavo Real, 15</t>
  </si>
  <si>
    <t>7625407UM5172F</t>
  </si>
  <si>
    <t>C/ Villabáñez, 12</t>
  </si>
  <si>
    <t>7724207UM5172D</t>
  </si>
  <si>
    <t>C/ Villabáñez, 2</t>
  </si>
  <si>
    <t>C/ Cigüeña, 39</t>
  </si>
  <si>
    <t>7824513UM5172D</t>
  </si>
  <si>
    <t>C/ Faisán, 7</t>
  </si>
  <si>
    <t>7724220UM5172D</t>
  </si>
  <si>
    <t>C/ Villabáñez, 4</t>
  </si>
  <si>
    <t>C/ Cigüeña, 41</t>
  </si>
  <si>
    <t>7824512UM5172D</t>
  </si>
  <si>
    <t>C/ Villabáñez, 8</t>
  </si>
  <si>
    <t>7724201UM5172D</t>
  </si>
  <si>
    <t>C/ Faisán, 5</t>
  </si>
  <si>
    <t>7724223UM5172D</t>
  </si>
  <si>
    <t>C/ Águila, 14</t>
  </si>
  <si>
    <t>7824516UM5172D</t>
  </si>
  <si>
    <t>C/ Salud, 15</t>
  </si>
  <si>
    <t>C/ Águila, 23</t>
  </si>
  <si>
    <t>7724210UM5172D</t>
  </si>
  <si>
    <t>C/ Faisán, 3</t>
  </si>
  <si>
    <t>7724224UM5172D</t>
  </si>
  <si>
    <t>C/ Martín Pescador, 4</t>
  </si>
  <si>
    <t>7623001UM5172D</t>
  </si>
  <si>
    <t>4718606027</t>
  </si>
  <si>
    <t>C/ Pavo Real, 20</t>
  </si>
  <si>
    <t>7724229UM5172D</t>
  </si>
  <si>
    <t>C/ Villabáñez, 6</t>
  </si>
  <si>
    <t>7625402UM5172F</t>
  </si>
  <si>
    <t>C/ Pavo Real, 23</t>
  </si>
  <si>
    <t>7625403UM5172F</t>
  </si>
  <si>
    <t>C/ Gaviota, 2</t>
  </si>
  <si>
    <t>7824505UM5172D</t>
  </si>
  <si>
    <t>C/ Paloma, 5</t>
  </si>
  <si>
    <t>7724214UM5172D</t>
  </si>
  <si>
    <t>C/ Salud, 18</t>
  </si>
  <si>
    <t>C/ Faisán, 1</t>
  </si>
  <si>
    <t>C/ Papagayo, 2</t>
  </si>
  <si>
    <t>7825401UM5172F</t>
  </si>
  <si>
    <t>C/ Cigüeña, 47</t>
  </si>
  <si>
    <t>7825413UM5172F</t>
  </si>
  <si>
    <t>C/ Papagayo, 4</t>
  </si>
  <si>
    <t>7825406UM5172F</t>
  </si>
  <si>
    <t>C/ Faisán, 11</t>
  </si>
  <si>
    <t>7824515UM5172D</t>
  </si>
  <si>
    <t>C/ Faisán, 9</t>
  </si>
  <si>
    <t>7724219UM5172D</t>
  </si>
  <si>
    <t>C/ Rincón del Esgueva, 15</t>
  </si>
  <si>
    <t>7726408UM5172F</t>
  </si>
  <si>
    <t>C/ Periquito, 2</t>
  </si>
  <si>
    <t>7724203UM5172D</t>
  </si>
  <si>
    <t>C/ Garza, 4</t>
  </si>
  <si>
    <t>7825410UM5172F</t>
  </si>
  <si>
    <t>C/ Cigüeña, 45</t>
  </si>
  <si>
    <t>7824503UM5172D</t>
  </si>
  <si>
    <t>C/ Pingüino, 6</t>
  </si>
  <si>
    <t>7925703UM5172F</t>
  </si>
  <si>
    <t>C/ Villabáñez, 19</t>
  </si>
  <si>
    <t>7825417UM5172F</t>
  </si>
  <si>
    <t>C/ Oropéndola, 2</t>
  </si>
  <si>
    <t>7825408UM5172F</t>
  </si>
  <si>
    <t>C/ Gaviota, 4</t>
  </si>
  <si>
    <t>7824511UM5172D</t>
  </si>
  <si>
    <t>C/ Salud, 16</t>
  </si>
  <si>
    <t>C/ Colibrí, 1</t>
  </si>
  <si>
    <t>7924211UM5172D</t>
  </si>
  <si>
    <t>C/ Villabáñez, 5</t>
  </si>
  <si>
    <t>7825709UM5172F</t>
  </si>
  <si>
    <t>C/ Villabáñez, 23</t>
  </si>
  <si>
    <t>7825415UM5172F</t>
  </si>
  <si>
    <t>C/ Villabáñez, 14</t>
  </si>
  <si>
    <t>7724208UM5172D</t>
  </si>
  <si>
    <t>C/ Guacamayo, 2</t>
  </si>
  <si>
    <t>7825404UM5172F</t>
  </si>
  <si>
    <t>C/ Villabáñez, 16</t>
  </si>
  <si>
    <t>7824501UM5172D</t>
  </si>
  <si>
    <t>C/ Villabáñez, 1</t>
  </si>
  <si>
    <t>7825711UM5172F</t>
  </si>
  <si>
    <t>C/ Pingüino, 4</t>
  </si>
  <si>
    <t>7925707UM5172F</t>
  </si>
  <si>
    <t>C/ Águila, 16</t>
  </si>
  <si>
    <t>7824517UM5172D</t>
  </si>
  <si>
    <t>C/ Guacamayo, 4</t>
  </si>
  <si>
    <t>7825405UM5172F</t>
  </si>
  <si>
    <t>C/ Cigüeña, 43</t>
  </si>
  <si>
    <t>7824504UM5172D</t>
  </si>
  <si>
    <t>C/ Martín Pescador, 2</t>
  </si>
  <si>
    <t>7623802UM5172D</t>
  </si>
  <si>
    <t>C/ Villabáñez, 7</t>
  </si>
  <si>
    <t>7825708UM5172F</t>
  </si>
  <si>
    <t>C/ Milano, 3</t>
  </si>
  <si>
    <t>7924202UM5172D</t>
  </si>
  <si>
    <t>C/ Cigüeña, 28</t>
  </si>
  <si>
    <t>7923011UM5172D</t>
  </si>
  <si>
    <t>4718606025</t>
  </si>
  <si>
    <t>C/ Águila, 18</t>
  </si>
  <si>
    <t>7824518UM5172D</t>
  </si>
  <si>
    <t>C/ Cisne, 4</t>
  </si>
  <si>
    <t>7925702UM5172F</t>
  </si>
  <si>
    <t>C/ Águila, 19</t>
  </si>
  <si>
    <t>7724218UM5172D</t>
  </si>
  <si>
    <t>C/ Milano, 1</t>
  </si>
  <si>
    <t>7924201UM5172D</t>
  </si>
  <si>
    <t>C/ Villabáñez, 9</t>
  </si>
  <si>
    <t>7825707UM5172F</t>
  </si>
  <si>
    <t>C/ Cigüeña, 33</t>
  </si>
  <si>
    <t>7723405UM5172D</t>
  </si>
  <si>
    <t>4718606028</t>
  </si>
  <si>
    <t>C/ Villabáñez, 21</t>
  </si>
  <si>
    <t>7825416UM5172F</t>
  </si>
  <si>
    <t>C/ Salud, 21</t>
  </si>
  <si>
    <t>7726415UM5172F</t>
  </si>
  <si>
    <t>C/ Salud, 20</t>
  </si>
  <si>
    <t>7825712UM5172F</t>
  </si>
  <si>
    <t>C/ Garza, 2</t>
  </si>
  <si>
    <t>7825409UM5172F</t>
  </si>
  <si>
    <t>C/ Pelícano, 7</t>
  </si>
  <si>
    <t>C/ Salud, 22</t>
  </si>
  <si>
    <t>C/ Zorzal, 3</t>
  </si>
  <si>
    <t>Pso. del Cauce, 86</t>
  </si>
  <si>
    <t>7726401UM5172F</t>
  </si>
  <si>
    <t>C/ Cigüeña, 35</t>
  </si>
  <si>
    <t>7723404UM5172D</t>
  </si>
  <si>
    <t>C/ Cisne, 11</t>
  </si>
  <si>
    <t>7825701UM5172F</t>
  </si>
  <si>
    <t>C/ Faisán, 8</t>
  </si>
  <si>
    <t>7723701UM5172D</t>
  </si>
  <si>
    <t>C/ Villabáñez, 11</t>
  </si>
  <si>
    <t>7825706UM5172F</t>
  </si>
  <si>
    <t>C/ Pavo Real, 1</t>
  </si>
  <si>
    <t>7623801UM5172D</t>
  </si>
  <si>
    <t>C/ Salud, 13</t>
  </si>
  <si>
    <t>C/ Rincón del Esgueva, 21</t>
  </si>
  <si>
    <t>7726403UM5172F</t>
  </si>
  <si>
    <t>Pso. del Cauce, 88</t>
  </si>
  <si>
    <t>7726402UM5172F</t>
  </si>
  <si>
    <t>C/ Pelícano, 15</t>
  </si>
  <si>
    <t>7723408UM5172D</t>
  </si>
  <si>
    <t>C/ Cisne, 3</t>
  </si>
  <si>
    <t>7825705UM5172F</t>
  </si>
  <si>
    <t>C/ Águila, 15</t>
  </si>
  <si>
    <t>C/ Águila, 6</t>
  </si>
  <si>
    <t>7723410UM5172D</t>
  </si>
  <si>
    <t>C/ Avestruz, 2</t>
  </si>
  <si>
    <t>C/ Águila, 8</t>
  </si>
  <si>
    <t>7723411UM5172D</t>
  </si>
  <si>
    <t>C/ Cigüeña, 51</t>
  </si>
  <si>
    <t>7825412UM5172F</t>
  </si>
  <si>
    <t>C/ Perdiz, 3</t>
  </si>
  <si>
    <t>C/ Cigüeña, 40</t>
  </si>
  <si>
    <t>7924212UM5172D</t>
  </si>
  <si>
    <t>C/ Codorniz, 1</t>
  </si>
  <si>
    <t>7924209UM5172D</t>
  </si>
  <si>
    <t>C/ Milano, 5</t>
  </si>
  <si>
    <t>C/ Cisne, 9</t>
  </si>
  <si>
    <t>7825702UM5172F</t>
  </si>
  <si>
    <t>C/ Perdiz, 4</t>
  </si>
  <si>
    <t>C/ Pingüino, 1</t>
  </si>
  <si>
    <t>7926606UM5172F</t>
  </si>
  <si>
    <t>C/ Pavo Real, 8</t>
  </si>
  <si>
    <t>7623002UM5172D</t>
  </si>
  <si>
    <t>C/ Zorzal, 4</t>
  </si>
  <si>
    <t>7723704UM5172D</t>
  </si>
  <si>
    <t>C/ Águila, 4</t>
  </si>
  <si>
    <t>C/ Villabáñez, 20</t>
  </si>
  <si>
    <t>7923001UM5172D</t>
  </si>
  <si>
    <t>C/ Zorzal, 2</t>
  </si>
  <si>
    <t>C/ Águila, 13</t>
  </si>
  <si>
    <t>7723702UM5172D</t>
  </si>
  <si>
    <t>C/ Zorzal, 8</t>
  </si>
  <si>
    <t>7723705UM5172D</t>
  </si>
  <si>
    <t>C/ Pavo Real, 2</t>
  </si>
  <si>
    <t>C/ Gallo, 21</t>
  </si>
  <si>
    <t>7822103UM5172B</t>
  </si>
  <si>
    <t>C/ Cisne, 1</t>
  </si>
  <si>
    <t>C/ Pelícano, 1</t>
  </si>
  <si>
    <t>C/ Gallo, 17</t>
  </si>
  <si>
    <t>7822104UM5172B</t>
  </si>
  <si>
    <t>C/ Villabáñez, 25</t>
  </si>
  <si>
    <t>7924207UM5172D</t>
  </si>
  <si>
    <t>C/ Cisne, 6</t>
  </si>
  <si>
    <t>7926601UM5172F</t>
  </si>
  <si>
    <t>C/ Cisne, 5</t>
  </si>
  <si>
    <t>7825704UM5172F</t>
  </si>
  <si>
    <t>C/ Faisán, 10</t>
  </si>
  <si>
    <t>C/ Pavo Real, 4</t>
  </si>
  <si>
    <t>C/ Pavo Real, 6</t>
  </si>
  <si>
    <t>C/ Pelícano, 11</t>
  </si>
  <si>
    <t>7723703UM5172D</t>
  </si>
  <si>
    <t>C/ Cigüeña, 29</t>
  </si>
  <si>
    <t>7723406UM5172D</t>
  </si>
  <si>
    <t>C/ Marabú, 3</t>
  </si>
  <si>
    <t>7924214UM5172D</t>
  </si>
  <si>
    <t>C/ Gavilán, 4</t>
  </si>
  <si>
    <t>7825402UM5172F</t>
  </si>
  <si>
    <t>C/ Gallo, 13</t>
  </si>
  <si>
    <t>7822106UM5172B</t>
  </si>
  <si>
    <t>C/ Pingüino, 11</t>
  </si>
  <si>
    <t>8025209UM5182E</t>
  </si>
  <si>
    <t>C/ Villabáñez, 27</t>
  </si>
  <si>
    <t>7924205UM5172D</t>
  </si>
  <si>
    <t>C/ Zorzal, 1</t>
  </si>
  <si>
    <t>C/ Faisán, 14</t>
  </si>
  <si>
    <t>7723402UM5172D</t>
  </si>
  <si>
    <t>C/ Cigüeña, 37</t>
  </si>
  <si>
    <t>7723403UM5172D</t>
  </si>
  <si>
    <t>C/ Cisne, 7</t>
  </si>
  <si>
    <t>7825703UM5172F</t>
  </si>
  <si>
    <t>C/ Faisán, 4</t>
  </si>
  <si>
    <t>7624401UM5172D</t>
  </si>
  <si>
    <t>C/ Águila, 10</t>
  </si>
  <si>
    <t>C/ Pavo Real, 7</t>
  </si>
  <si>
    <t>C/ Perdiz, 1</t>
  </si>
  <si>
    <t>C/ Gallo, 19</t>
  </si>
  <si>
    <t>C/ Tordo, 8</t>
  </si>
  <si>
    <t>8025204UM5182E</t>
  </si>
  <si>
    <t>C/ Villabáñez, 31</t>
  </si>
  <si>
    <t>8024006UM5182C</t>
  </si>
  <si>
    <t>C/ Pavo Real, 3</t>
  </si>
  <si>
    <t>C/ Codorniz, 3</t>
  </si>
  <si>
    <t>7924210UM5172D</t>
  </si>
  <si>
    <t>C/ Águila, 17</t>
  </si>
  <si>
    <t>C/ Gallo, 11</t>
  </si>
  <si>
    <t>C/ Martín Pescador, 1</t>
  </si>
  <si>
    <t>7624001UM5172D</t>
  </si>
  <si>
    <t>C/ Águila, 12</t>
  </si>
  <si>
    <t>7723412UM5172D</t>
  </si>
  <si>
    <t>C/ Andarríos, 2</t>
  </si>
  <si>
    <t>7922505UM5172B</t>
  </si>
  <si>
    <t>Pso. del Cauce, 92</t>
  </si>
  <si>
    <t>C/ Juan Carlos I, 103</t>
  </si>
  <si>
    <t>8024001UM5182C</t>
  </si>
  <si>
    <t>C/ Cigüeña, 31</t>
  </si>
  <si>
    <t>C/ Pingüino, 9</t>
  </si>
  <si>
    <t>C/ Perdiz, 2</t>
  </si>
  <si>
    <t>C/ Pavo Real, 5</t>
  </si>
  <si>
    <t>C/ Cigüeña, 34</t>
  </si>
  <si>
    <t>7923014UM5172D</t>
  </si>
  <si>
    <t>C/ Gallo, 15</t>
  </si>
  <si>
    <t>7822105UM5172B</t>
  </si>
  <si>
    <t>C/ Zorzal, 6</t>
  </si>
  <si>
    <t>C/ Faisán, 12</t>
  </si>
  <si>
    <t>7723401UM5172D</t>
  </si>
  <si>
    <t>C/ Juan Carlos I, 101</t>
  </si>
  <si>
    <t>8024002UM5182C</t>
  </si>
  <si>
    <t>C/ Tordo, 4</t>
  </si>
  <si>
    <t>8024009UM5182C</t>
  </si>
  <si>
    <t>C/ Cigüeña, 36</t>
  </si>
  <si>
    <t>7923015UM5172D</t>
  </si>
  <si>
    <t>C/ Tordo, 3</t>
  </si>
  <si>
    <t>7924203UM5172D</t>
  </si>
  <si>
    <t>C/ Tordo, 6</t>
  </si>
  <si>
    <t>8024010UM5182C</t>
  </si>
  <si>
    <t>C/ Cigüeña, 27</t>
  </si>
  <si>
    <t>7723407UM5172D</t>
  </si>
  <si>
    <t>C/ Pelícano, 13</t>
  </si>
  <si>
    <t>7723409UM5172D</t>
  </si>
  <si>
    <t>C/ Faisán, 17</t>
  </si>
  <si>
    <t>7923008UM5172D</t>
  </si>
  <si>
    <t>C/ Gallo, 23</t>
  </si>
  <si>
    <t>7822102UM5172B</t>
  </si>
  <si>
    <t>C/ Faisán, 2</t>
  </si>
  <si>
    <t>C/ Gallo, 18</t>
  </si>
  <si>
    <t>7922502UM5172B</t>
  </si>
  <si>
    <t>C/ Villabáñez, 22</t>
  </si>
  <si>
    <t>7923002UM5172D</t>
  </si>
  <si>
    <t>C/ Tordo, 1</t>
  </si>
  <si>
    <t>7924204UM5172D</t>
  </si>
  <si>
    <t>C/ Tordo, 10</t>
  </si>
  <si>
    <t>8025205UM5182E</t>
  </si>
  <si>
    <t>C/ Juan Carlos I, 91</t>
  </si>
  <si>
    <t>7923004UM5172D</t>
  </si>
  <si>
    <t>C/ Villabáñez, 29</t>
  </si>
  <si>
    <t>8024007UM5182C</t>
  </si>
  <si>
    <t>C/ Juan Carlos I, 97</t>
  </si>
  <si>
    <t>8024003UM5182C</t>
  </si>
  <si>
    <t>C/ Juan Carlos I, 83</t>
  </si>
  <si>
    <t>7922506UM5172B</t>
  </si>
  <si>
    <t>C/ Cigüeña, 30</t>
  </si>
  <si>
    <t>7923012UM5172D</t>
  </si>
  <si>
    <t>C/ Pelícano, 19</t>
  </si>
  <si>
    <t>7922504UM5172B</t>
  </si>
  <si>
    <t>C/ Martín Pescador, 3</t>
  </si>
  <si>
    <t>C/ Pingüino, 7</t>
  </si>
  <si>
    <t>7926603UM5172F</t>
  </si>
  <si>
    <t>C/ Juan Carlos I, 99</t>
  </si>
  <si>
    <t>C/ Villabáñez, 33</t>
  </si>
  <si>
    <t>8024005UM5182C</t>
  </si>
  <si>
    <t>C/ Faisán, 21</t>
  </si>
  <si>
    <t>7923006UM5172D</t>
  </si>
  <si>
    <t>C/ Faisán, 22</t>
  </si>
  <si>
    <t>7922510UM5172B</t>
  </si>
  <si>
    <t>C/ Faisán, 19</t>
  </si>
  <si>
    <t>7923007UM5172D</t>
  </si>
  <si>
    <t>C/ Tordo, 5</t>
  </si>
  <si>
    <t>8025207UM5182E</t>
  </si>
  <si>
    <t>C/ Águila, 2</t>
  </si>
  <si>
    <t>C/ Pelícano, 17</t>
  </si>
  <si>
    <t>7922503UM5172B</t>
  </si>
  <si>
    <t>C/ Juan Carlos I, 89</t>
  </si>
  <si>
    <t>7922509UM5172B</t>
  </si>
  <si>
    <t>C/ Juan Carlos I, 85</t>
  </si>
  <si>
    <t>7922507UM5172B</t>
  </si>
  <si>
    <t>C/ Faisán, 23</t>
  </si>
  <si>
    <t>7923005UM5172D</t>
  </si>
  <si>
    <t>C/ Gallo, 16</t>
  </si>
  <si>
    <t>C/ Pingüino, 13</t>
  </si>
  <si>
    <t>8025208UM5182E</t>
  </si>
  <si>
    <t>C/ Tordo, 2</t>
  </si>
  <si>
    <t>8024008UM5182C</t>
  </si>
  <si>
    <t>C/ Faisán, 20</t>
  </si>
  <si>
    <t>7922501UM5172B</t>
  </si>
  <si>
    <t>C/ Juan Carlos I, 81</t>
  </si>
  <si>
    <t>C/ Gallo, 20</t>
  </si>
  <si>
    <t>C/ Juan Carlos I, 87</t>
  </si>
  <si>
    <t>7922508UM5172B</t>
  </si>
  <si>
    <t>C/ Villabáñez, 3</t>
  </si>
  <si>
    <t>7825710UM5172F</t>
  </si>
  <si>
    <t>No</t>
  </si>
  <si>
    <t>?</t>
  </si>
  <si>
    <t>C/ Cigüeña, 32</t>
  </si>
  <si>
    <t>7923013UM5172D</t>
  </si>
  <si>
    <t>C/ Villabáñez, 13</t>
  </si>
  <si>
    <t>7825418UM5172F</t>
  </si>
  <si>
    <t>C/ Gavilán, 2</t>
  </si>
  <si>
    <t>7825403UM5172F</t>
  </si>
  <si>
    <t>C/ Cigüeña, 49</t>
  </si>
  <si>
    <t>7825414UM5172F</t>
  </si>
  <si>
    <t>C/ Halcón, 4</t>
  </si>
  <si>
    <t>7925706UM5172F</t>
  </si>
  <si>
    <t>C/ Gorrión, 2</t>
  </si>
  <si>
    <t>7925704UM5172F</t>
  </si>
  <si>
    <t>C/ Cisne, 2</t>
  </si>
  <si>
    <t>7925701UM5172F</t>
  </si>
  <si>
    <t>C/ Calandria, 2</t>
  </si>
  <si>
    <t>7925709UM5172F</t>
  </si>
  <si>
    <t>C/ Villabáñez, 10</t>
  </si>
  <si>
    <t>7724202UM5172D</t>
  </si>
  <si>
    <t>C/ Cuclillo, 1</t>
  </si>
  <si>
    <t>7724211UM5172D</t>
  </si>
  <si>
    <t>C/ Paloma, 3</t>
  </si>
  <si>
    <t>7724213UM5172D</t>
  </si>
  <si>
    <t>C/ Zorzal, 12</t>
  </si>
  <si>
    <t>7724222UM5172D</t>
  </si>
  <si>
    <t>C/ Albatros, 3</t>
  </si>
  <si>
    <t>7724225UM5172D</t>
  </si>
  <si>
    <t>C/ Pavo Real, 16</t>
  </si>
  <si>
    <t>7724227UM5172D</t>
  </si>
  <si>
    <t>C/ Pingüino, 3</t>
  </si>
  <si>
    <t>7926605UM5172F</t>
  </si>
  <si>
    <t>C/ Faisán, 13</t>
  </si>
  <si>
    <t>7824514UM5172D</t>
  </si>
  <si>
    <t>C/ Faisán, 15</t>
  </si>
  <si>
    <t>7923009UM5172D</t>
  </si>
  <si>
    <t>C/ Cóndor, 1</t>
  </si>
  <si>
    <t>7924215UM5172D</t>
  </si>
  <si>
    <t>C/ Villabáñez, 27 (portal sin cert.)</t>
  </si>
  <si>
    <t>7924206UM5172D</t>
  </si>
  <si>
    <t>C/ Cigüeña, 38</t>
  </si>
  <si>
    <t>7924208UM5172D</t>
  </si>
  <si>
    <t>C/ Villabáñez, 35</t>
  </si>
  <si>
    <t>8024004UM5182C</t>
  </si>
  <si>
    <t>C/ Faisán, 1B</t>
  </si>
  <si>
    <t>7625408UM5172F</t>
  </si>
  <si>
    <t>C/ Salud, 23</t>
  </si>
  <si>
    <t>7726416UM5172F</t>
  </si>
  <si>
    <t>Calif</t>
  </si>
  <si>
    <t>n</t>
  </si>
  <si>
    <t>Fase</t>
  </si>
  <si>
    <t>Sec</t>
  </si>
  <si>
    <t>📊  PANEL DE PRIORIZACIÓN</t>
  </si>
  <si>
    <t>Fase 1</t>
  </si>
  <si>
    <t>06-023</t>
  </si>
  <si>
    <t>Fase 2</t>
  </si>
  <si>
    <t>06-024</t>
  </si>
  <si>
    <t>Fase 3</t>
  </si>
  <si>
    <t>06-025</t>
  </si>
  <si>
    <t>06-026</t>
  </si>
  <si>
    <t>Fase 1 · Prioritaria</t>
  </si>
  <si>
    <t>calificación G (peor)</t>
  </si>
  <si>
    <t>anteriores a 1980</t>
  </si>
  <si>
    <t>06-027</t>
  </si>
  <si>
    <t>06-028</t>
  </si>
  <si>
    <t xml:space="preserve">  CALIFICACIÓN ENERGÉTICA</t>
  </si>
  <si>
    <t xml:space="preserve">  PORTALES POR FASE</t>
  </si>
  <si>
    <t xml:space="preserve">  PORTALES POR SECCIÓN</t>
  </si>
  <si>
    <t xml:space="preserve">  TOP 8 PRIORITARIOS (mayor Índice Pk)</t>
  </si>
  <si>
    <t>EP</t>
  </si>
  <si>
    <t>Índice Pk</t>
  </si>
  <si>
    <t>Gráficos y KPIs derivados del modelo AHP. Fuente de datos: hoja 📋 RANKING.</t>
  </si>
  <si>
    <t>IDENTIFICACIÓN Y PRIORIDAD</t>
  </si>
  <si>
    <t>CERT. ENERGÉTICO — JCyL 2026</t>
  </si>
  <si>
    <t>CRITERIOS AHP (0–1)</t>
  </si>
  <si>
    <t>SOCIOECONÓMICO (sección)</t>
  </si>
  <si>
    <t>CATASTRO ⚠</t>
  </si>
  <si>
    <t>ACTUACIÓN PROPUESTA</t>
  </si>
  <si>
    <t>COORDENADAS</t>
  </si>
  <si>
    <t>Cal.
EP</t>
  </si>
  <si>
    <t>Año
constr.</t>
  </si>
  <si>
    <t>C1n</t>
  </si>
  <si>
    <t>C2n</t>
  </si>
  <si>
    <t>C3n</t>
  </si>
  <si>
    <t>C4n</t>
  </si>
  <si>
    <t>Paro %</t>
  </si>
  <si>
    <t>Renta
€/hog</t>
  </si>
  <si>
    <t>Edad&gt;64
%</t>
  </si>
  <si>
    <t>Actuación energética (según calificación)</t>
  </si>
  <si>
    <t>Sup.
cub. m²</t>
  </si>
  <si>
    <t>kWp</t>
  </si>
  <si>
    <t>Rad. IGN
kWh/m²·a</t>
  </si>
  <si>
    <t>Producción
kWh/año</t>
  </si>
  <si>
    <t>Inversión €
(sin subv.)</t>
  </si>
  <si>
    <t>Ahorro
€/año</t>
  </si>
  <si>
    <t>Ahorro consumo
€/año ⚡</t>
  </si>
  <si>
    <t>Ahorro compensación
€/año 🔌</t>
  </si>
  <si>
    <t>Amort.
años</t>
  </si>
  <si>
    <t>FV recomendada</t>
  </si>
  <si>
    <t>📊  INDICADORES SOCIOECONÓMICOS POR SECCIÓN CENSAL</t>
  </si>
  <si>
    <t>CUSEC</t>
  </si>
  <si>
    <t>Sec.</t>
  </si>
  <si>
    <t>N port.</t>
  </si>
  <si>
    <t>Renta €/hog</t>
  </si>
  <si>
    <t>Estud.sup %</t>
  </si>
  <si>
    <t>Edad&gt;64 %</t>
  </si>
  <si>
    <t>Alquiler %</t>
  </si>
  <si>
    <t>paro_n</t>
  </si>
  <si>
    <t>renta_n</t>
  </si>
  <si>
    <t>alq_n</t>
  </si>
  <si>
    <t>C2 comp.</t>
  </si>
  <si>
    <t>023</t>
  </si>
  <si>
    <t>024</t>
  </si>
  <si>
    <t>025</t>
  </si>
  <si>
    <t>026</t>
  </si>
  <si>
    <t>027</t>
  </si>
  <si>
    <t>028</t>
  </si>
  <si>
    <t>Parámetro y fuente</t>
  </si>
  <si>
    <t>Valor</t>
  </si>
  <si>
    <t>Explicación</t>
  </si>
  <si>
    <t>☀️ SOLAR FOTOVOLTAICA (estimación ⚠)</t>
  </si>
  <si>
    <t>Radiación: DATO IGN por edificio (columna Rad. IGN) — no editable aquí</t>
  </si>
  <si>
    <t>IGN</t>
  </si>
  <si>
    <t>Radiación real IGN</t>
  </si>
  <si>
    <t>IGN · sup. cubierta: DATO IGN por edificio (columna Sup.)</t>
  </si>
  <si>
    <t>Superficie real IGN</t>
  </si>
  <si>
    <t>IGN (config. viewer: pérdidas sistema 10%)</t>
  </si>
  <si>
    <t>Performance Ratio (PR)</t>
  </si>
  <si>
    <t xml:space="preserve">IGN (config. viewer: eficiencia panel 21%) </t>
  </si>
  <si>
    <t>Densidad panel kW/m²</t>
  </si>
  <si>
    <t>Potencial IGN: cubierta completa</t>
  </si>
  <si>
    <t>Fracción cubierta útil</t>
  </si>
  <si>
    <t>Calibrado al visor IGN (coste medio real, no €/panel+mano de obra) · 7825708UM5172F</t>
  </si>
  <si>
    <t>CNMC 1/2024 · €/kWh (ahorro por autoconsumo)</t>
  </si>
  <si>
    <t>Precio electricidad</t>
  </si>
  <si>
    <t>% producción autoconsumida in situ</t>
  </si>
  <si>
    <t>Fracción autoconsumo</t>
  </si>
  <si>
    <t>Compensación de excedentes vertidos a red</t>
  </si>
  <si>
    <t>Precio compensación €/kWh</t>
  </si>
  <si>
    <t>🏠 Factor perímetro fachada (perímetro ≈ f·√huella)</t>
  </si>
  <si>
    <t>Perímetro ≈ 4,5·√huella</t>
  </si>
  <si>
    <t>🏠 ENVOLVENTE — SATE (estimación ⚠)</t>
  </si>
  <si>
    <t>Coste SATE/m²</t>
  </si>
  <si>
    <t>RD 853/2021 Art.23 · % s/ inversión</t>
  </si>
  <si>
    <t>Subvención envolvente</t>
  </si>
  <si>
    <t>Tipología VPO 1960-75 · m</t>
  </si>
  <si>
    <t>Altura libre/planta</t>
  </si>
  <si>
    <t>EP mínimo del barrio (auto)</t>
  </si>
  <si>
    <t>Normaliza C1=0</t>
  </si>
  <si>
    <t>55% · criterio técnico dominante</t>
  </si>
  <si>
    <t>Peso C1 — EP individual</t>
  </si>
  <si>
    <t>22% · paro+renta+alquiler por sección</t>
  </si>
  <si>
    <t>Peso C2 — Vuln. económica</t>
  </si>
  <si>
    <t>14% · estudios superiores (inv.)</t>
  </si>
  <si>
    <t>Peso C3 — Vuln. social</t>
  </si>
  <si>
    <t>9% · % población &gt;64 años</t>
  </si>
  <si>
    <t>Peso C4 — Vuln. demográfica</t>
  </si>
  <si>
    <t>EP máximo del barrio (auto)</t>
  </si>
  <si>
    <t>Normaliza C1=1</t>
  </si>
  <si>
    <t>Suma de pesos (=1,00)</t>
  </si>
  <si>
    <t>Nº portales (auto)</t>
  </si>
  <si>
    <t>Límite Fase 1 (≤)</t>
  </si>
  <si>
    <t>Límite Fase 2 (≤)</t>
  </si>
  <si>
    <t>🔧 FV recomendada — umbral de amortización (años)</t>
  </si>
  <si>
    <t>FV muy recomendable si amortización ≤</t>
  </si>
  <si>
    <t>FV recomendable si amortización ≤</t>
  </si>
  <si>
    <t>📌  FUENTES DE DATOS Y TRAZABILIDAD</t>
  </si>
  <si>
    <t>Todos los datos provienen de fuentes públicas y oficiales. ⚠ = estimación propia a partir de la fuente.</t>
  </si>
  <si>
    <t>Fuente</t>
  </si>
  <si>
    <t>Datos que aporta</t>
  </si>
  <si>
    <t>▸ JCyL — Datos Abiertos (2026)</t>
  </si>
  <si>
    <t>Certificados de eficiencia energética: calificación, EP, CO₂, demanda de calefacción y normativa de construcción vigente</t>
  </si>
  <si>
    <t>Cal. EP · EP · CO₂ · Dcal · Época</t>
  </si>
  <si>
    <t>▸ INE — Censo 2021</t>
  </si>
  <si>
    <t>Tasa de paro, estudios superiores y régimen de alquiler por sección censal</t>
  </si>
  <si>
    <t>Paro % · C2n · C3n</t>
  </si>
  <si>
    <t>Renta neta media por hogar por sección censal</t>
  </si>
  <si>
    <t>Renta €/hog · C2n</t>
  </si>
  <si>
    <t>▸ INE — Padrón (2023)</t>
  </si>
  <si>
    <t>% población mayor de 64 años por sección</t>
  </si>
  <si>
    <t>Edad&gt;64 % · C4n</t>
  </si>
  <si>
    <t>▸ Catastro (SHP 23/01/2026) ⚠</t>
  </si>
  <si>
    <t>▸ IGN — Potencial Solar de Edificios</t>
  </si>
  <si>
    <t>Radiación solar real por cubierta (kWh/m²·año) vía API de procesos del IGN</t>
  </si>
  <si>
    <t>Rad. IGN · Producción · Amort.</t>
  </si>
  <si>
    <t>▸ IEA PVPS (2025) / CNMC (2024)</t>
  </si>
  <si>
    <t>Coste de instalación FV (€/kWp) y precio de la electricidad residencial</t>
  </si>
  <si>
    <t>Inv. neta · Ahorro</t>
  </si>
  <si>
    <t>▸ RD 853/2021 (PRTR)</t>
  </si>
  <si>
    <t>Subvenciones (FV 40% · envolvente 50%) y exigencias de reducción energética</t>
  </si>
  <si>
    <t>Inv. neta · Actuación</t>
  </si>
  <si>
    <t>▸ MIVAU (2011)</t>
  </si>
  <si>
    <t>Catálogo de Barrios Vulnerables — AEV 47186004</t>
  </si>
  <si>
    <t>Delimitación del ámbito</t>
  </si>
  <si>
    <t>▸ Ayuntamiento de Valladolid</t>
  </si>
  <si>
    <t>Delimitación oficial del barrio y Plan Municipal de Vivienda y Suelo 2026-2030</t>
  </si>
  <si>
    <t>Ámbito y alineación estratégica</t>
  </si>
  <si>
    <t>IMPULSO · TFM Máster en Dirección de Proyectos · Universidad de Valladolid · 2026</t>
  </si>
  <si>
    <t>Arturo Eyries</t>
  </si>
  <si>
    <t>Barrio España</t>
  </si>
  <si>
    <t>Batallas</t>
  </si>
  <si>
    <t>Belén - Pilarica</t>
  </si>
  <si>
    <t>Campo Grande</t>
  </si>
  <si>
    <t>Caño Argales</t>
  </si>
  <si>
    <t>Circular</t>
  </si>
  <si>
    <t>Covaresa</t>
  </si>
  <si>
    <t>Cuatro de Marzo</t>
  </si>
  <si>
    <t>Delicias - Arco de Ladrillo</t>
  </si>
  <si>
    <t>Delicias - Canterac</t>
  </si>
  <si>
    <t>El Berrocal - La Galera</t>
  </si>
  <si>
    <t>El Pinar</t>
  </si>
  <si>
    <t>Extrarradio</t>
  </si>
  <si>
    <t>Girón</t>
  </si>
  <si>
    <t>Hospital</t>
  </si>
  <si>
    <t>Huerta del Rey</t>
  </si>
  <si>
    <t>La Antigua - Santa Cruz</t>
  </si>
  <si>
    <t>La Farola</t>
  </si>
  <si>
    <t>La Overuela</t>
  </si>
  <si>
    <t>La Rubia</t>
  </si>
  <si>
    <t>La Victoria</t>
  </si>
  <si>
    <t>Las Flores</t>
  </si>
  <si>
    <t>Las Villas - Valparaíso</t>
  </si>
  <si>
    <t>Pajarillos Altos</t>
  </si>
  <si>
    <t>Parque Alameda - Paula López</t>
  </si>
  <si>
    <t>Parquesol</t>
  </si>
  <si>
    <t>Pilarica - Los Santos</t>
  </si>
  <si>
    <t>Plaza España</t>
  </si>
  <si>
    <t>Plaza Mayor</t>
  </si>
  <si>
    <t>Plaza de Toros</t>
  </si>
  <si>
    <t>Polígono Argales</t>
  </si>
  <si>
    <t>Polígono San Cristóbal</t>
  </si>
  <si>
    <t>Puente Duero</t>
  </si>
  <si>
    <t>Rondilla</t>
  </si>
  <si>
    <t>San Isidro</t>
  </si>
  <si>
    <t>San Martín</t>
  </si>
  <si>
    <t>San Pablo - San Nicolás</t>
  </si>
  <si>
    <t>San Pedro Regalado</t>
  </si>
  <si>
    <t>Soto de Medinilla</t>
  </si>
  <si>
    <t>Vadillos</t>
  </si>
  <si>
    <t>Energía primaria kWh/m²·año (certificado JCyL), min–max sobre el ranking</t>
  </si>
  <si>
    <t>Calificación energética:</t>
  </si>
  <si>
    <t>INSTRUCCIONES DE USO</t>
  </si>
  <si>
    <t>Se lee al pulsar “Cargar Excel” en el mapa)</t>
  </si>
  <si>
    <t>Estimación del potencial solar fotovoltaico por cubierta: kWp a partir de la superficie disponible, producción según la radiación del IGN y ahorro económico asociado, con parámetros calibrados contra el visor solar del IGN (desviación aproximada del ±5%). La amortización varía según la cubierta y la columna se colorea automáticamente (verde = mejor retorno; rojo = peor). Cifras orientativas, a contrastar en proyecto.</t>
  </si>
  <si>
    <t>IMPULSO · Máster en Dirección de Proyectos · Universidad de Valladolid · Álvar del Prado Suárez · 2026</t>
  </si>
  <si>
    <r>
      <rPr>
        <b/>
        <sz val="11"/>
        <color rgb="FF7A5C00"/>
        <rFont val="Segoe UI"/>
        <family val="2"/>
      </rPr>
      <t>1.</t>
    </r>
    <r>
      <rPr>
        <sz val="11"/>
        <color rgb="FF7A5C00"/>
        <rFont val="Segoe UI"/>
        <family val="2"/>
      </rPr>
      <t xml:space="preserve"> Introduce o edita los datos de cada edificio en la hoja </t>
    </r>
    <r>
      <rPr>
        <b/>
        <sz val="11"/>
        <color rgb="FF7A5C00"/>
        <rFont val="Segoe UI"/>
        <family val="2"/>
      </rPr>
      <t>INVENTARIO</t>
    </r>
    <r>
      <rPr>
        <sz val="11"/>
        <color rgb="FF7A5C00"/>
        <rFont val="Segoe UI"/>
        <family val="2"/>
      </rPr>
      <t xml:space="preserve"> (punto de entrada único).
</t>
    </r>
    <r>
      <rPr>
        <b/>
        <sz val="11"/>
        <color rgb="FF7A5C00"/>
        <rFont val="Segoe UI"/>
        <family val="2"/>
      </rPr>
      <t>2.</t>
    </r>
    <r>
      <rPr>
        <sz val="11"/>
        <color rgb="FF7A5C00"/>
        <rFont val="Segoe UI"/>
        <family val="2"/>
      </rPr>
      <t xml:space="preserve"> El </t>
    </r>
    <r>
      <rPr>
        <b/>
        <sz val="11"/>
        <color rgb="FF7A5C00"/>
        <rFont val="Segoe UI"/>
        <family val="2"/>
      </rPr>
      <t>RANKING</t>
    </r>
    <r>
      <rPr>
        <sz val="11"/>
        <color rgb="FF7A5C00"/>
        <rFont val="Segoe UI"/>
        <family val="2"/>
      </rPr>
      <t xml:space="preserve">, las </t>
    </r>
    <r>
      <rPr>
        <b/>
        <sz val="11"/>
        <color rgb="FF7A5C00"/>
        <rFont val="Segoe UI"/>
        <family val="2"/>
      </rPr>
      <t>fases</t>
    </r>
    <r>
      <rPr>
        <sz val="11"/>
        <color rgb="FF7A5C00"/>
        <rFont val="Segoe UI"/>
        <family val="2"/>
      </rPr>
      <t xml:space="preserve"> y el </t>
    </r>
    <r>
      <rPr>
        <b/>
        <sz val="11"/>
        <color rgb="FF7A5C00"/>
        <rFont val="Segoe UI"/>
        <family val="2"/>
      </rPr>
      <t>PANEL</t>
    </r>
    <r>
      <rPr>
        <sz val="11"/>
        <color rgb="FF7A5C00"/>
        <rFont val="Segoe UI"/>
        <family val="2"/>
      </rPr>
      <t xml:space="preserve"> se recalculan automáticamente.
</t>
    </r>
    <r>
      <rPr>
        <b/>
        <sz val="11"/>
        <color rgb="FF7A5C00"/>
        <rFont val="Segoe UI"/>
        <family val="2"/>
      </rPr>
      <t>3.</t>
    </r>
    <r>
      <rPr>
        <sz val="11"/>
        <color rgb="FF7A5C00"/>
        <rFont val="Segoe UI"/>
        <family val="2"/>
      </rPr>
      <t xml:space="preserve"> Ajusta los pesos del AHP y los demás parámetros en la hoja </t>
    </r>
    <r>
      <rPr>
        <b/>
        <sz val="11"/>
        <color rgb="FF7A5C00"/>
        <rFont val="Segoe UI"/>
        <family val="2"/>
      </rPr>
      <t>SUPUESTOS</t>
    </r>
    <r>
      <rPr>
        <sz val="11"/>
        <color rgb="FF7A5C00"/>
        <rFont val="Segoe UI"/>
        <family val="2"/>
      </rPr>
      <t xml:space="preserve">.
</t>
    </r>
    <r>
      <rPr>
        <b/>
        <sz val="11"/>
        <color rgb="FF7A5C00"/>
        <rFont val="Segoe UI"/>
        <family val="2"/>
      </rPr>
      <t>4.</t>
    </r>
    <r>
      <rPr>
        <sz val="11"/>
        <color rgb="FF7A5C00"/>
        <rFont val="Segoe UI"/>
        <family val="2"/>
      </rPr>
      <t xml:space="preserve"> Selecciona el ámbito (barrio) en el desplegable superior.
</t>
    </r>
    <r>
      <rPr>
        <b/>
        <sz val="11"/>
        <color rgb="FF7A5C00"/>
        <rFont val="Segoe UI"/>
        <family val="2"/>
      </rPr>
      <t>5.</t>
    </r>
    <r>
      <rPr>
        <sz val="11"/>
        <color rgb="FF7A5C00"/>
        <rFont val="Segoe UI"/>
        <family val="2"/>
      </rPr>
      <t xml:space="preserve"> Para visualizarlo sobre el mapa, carga este libro en la herramienta IMPULSO (botón 📂 </t>
    </r>
    <r>
      <rPr>
        <b/>
        <sz val="11"/>
        <color rgb="FF7A5C00"/>
        <rFont val="Segoe UI"/>
        <family val="2"/>
      </rPr>
      <t>Cargar Excel</t>
    </r>
    <r>
      <rPr>
        <sz val="11"/>
        <color rgb="FF7A5C00"/>
        <rFont val="Segoe UI"/>
        <family val="2"/>
      </rPr>
      <t>).</t>
    </r>
  </si>
  <si>
    <t xml:space="preserve">  ENERGÍA SOLAR: </t>
  </si>
  <si>
    <t>Índice Pk = 0,55·C1n + 0,22·C2n + 0,14·C3n + 0,09·C4n → Ranking 1–203 → 3 fases</t>
  </si>
  <si>
    <t>La intervención propuesta se asigna en función de la calificación energética del edificio: cuanto peor es la calificación de partida, más profunda es la actuación recomendada. Esta lógica es coherente con las exigencias del programa estatal de rehabilitación (RD 853/2021), que condiciona las ayudas a una reducción mínima del 30 % del consumo de energía primaria no renovable.</t>
  </si>
  <si>
    <r>
      <t>Renovación integral:</t>
    </r>
    <r>
      <rPr>
        <b/>
        <sz val="10"/>
        <color rgb="FF2C3E50"/>
        <rFont val="Segoe UI"/>
        <family val="2"/>
      </rPr>
      <t xml:space="preserve"> </t>
    </r>
    <r>
      <rPr>
        <sz val="10"/>
        <color rgb="FF2C3E50"/>
        <rFont val="Segoe UI"/>
        <family val="2"/>
        <charset val="1"/>
      </rPr>
      <t>SATE integral + cubierta + carpinterías triple + aerotermia + instalación fotovoltaica.</t>
    </r>
  </si>
  <si>
    <t>Ahorro acumulado
vida útil 25 años €</t>
  </si>
  <si>
    <t xml:space="preserve">📐 FASES </t>
  </si>
  <si>
    <t>Campos en RANKING</t>
  </si>
  <si>
    <t>☀️ SOLAR FV — IGN + cálculo paramétrico ⚠</t>
  </si>
  <si>
    <t>Huella (base del potencial solar), N.º. de plantas (base de la fachada y del coste del SATE, y de la valoración de accesibilidad)</t>
  </si>
  <si>
    <t>Plantas ⚠ · kWp · Accesibilidad</t>
  </si>
  <si>
    <t>Plantas ⚠</t>
  </si>
  <si>
    <t>Demanda calef.
kWh/m²</t>
  </si>
  <si>
    <t>★ 026 = más vulnerable · Azul = editable · Columnas L–R = normalización min–max del AHP</t>
  </si>
  <si>
    <t>40%·paro + 40% · (1−renta) + 20%·alquiler (INE, 2021 + ADRH, 2023)</t>
  </si>
  <si>
    <t>% población &gt;64 años (Padrón, INE, 2023)</t>
  </si>
  <si>
    <t>% población sin estudios superiores (INE, 2021, invertido)</t>
  </si>
  <si>
    <t>Habitissimo, 2026 · €/m² fachada</t>
  </si>
  <si>
    <t>🔢 MODELO AHP (Saaty 1994) — pesos editables</t>
  </si>
  <si>
    <t>▸ INE — ADRH (2023)</t>
  </si>
  <si>
    <t xml:space="preserve">  CRITERIOS DEL MODELO AHP (Saaty, 1994 · RC = 0,053)</t>
  </si>
  <si>
    <t>⚙️  SUPUESTOS — parámetros del modelo (edite las celdas amarillas)</t>
  </si>
  <si>
    <t>Coste instalación (bruto)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</si>
</sst>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"/>
    <numFmt numFmtId="168" formatCode="#,##0&quot; €&quot;"/>
  </numFmts>
  <fonts count="50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i/>
      <sz val="10"/>
      <color rgb="FF7A869A"/>
      <name val="Segoe UI"/>
      <family val="2"/>
      <charset val="1"/>
    </font>
    <font>
      <b/>
      <sz val="30"/>
      <color rgb="FFFFFFFF"/>
      <name val="Segoe UI"/>
      <family val="2"/>
      <charset val="1"/>
    </font>
    <font>
      <b/>
      <sz val="16"/>
      <color rgb="FFFFFFFF"/>
      <name val="Segoe UI"/>
      <family val="2"/>
      <charset val="1"/>
    </font>
    <font>
      <sz val="8.5"/>
      <color rgb="FFC7D6EA"/>
      <name val="Segoe UI"/>
      <family val="2"/>
      <charset val="1"/>
    </font>
    <font>
      <sz val="8.5"/>
      <color rgb="FFCFE0F5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3"/>
      <color rgb="FFC0392B"/>
      <name val="Segoe UI"/>
      <family val="2"/>
      <charset val="1"/>
    </font>
    <font>
      <sz val="9.5"/>
      <color rgb="FF2C3E50"/>
      <name val="Segoe UI"/>
      <family val="2"/>
      <charset val="1"/>
    </font>
    <font>
      <b/>
      <sz val="13"/>
      <color rgb="FFE67E22"/>
      <name val="Segoe UI"/>
      <family val="2"/>
      <charset val="1"/>
    </font>
    <font>
      <b/>
      <sz val="13"/>
      <color rgb="FFD4A017"/>
      <name val="Segoe UI"/>
      <family val="2"/>
      <charset val="1"/>
    </font>
    <font>
      <b/>
      <sz val="13"/>
      <color rgb="FF27AE60"/>
      <name val="Segoe UI"/>
      <family val="2"/>
      <charset val="1"/>
    </font>
    <font>
      <b/>
      <i/>
      <sz val="10"/>
      <color rgb="FF24509B"/>
      <name val="Segoe UI"/>
      <family val="2"/>
      <charset val="1"/>
    </font>
    <font>
      <b/>
      <sz val="10"/>
      <color rgb="FF1B3A6B"/>
      <name val="Segoe UI"/>
      <family val="2"/>
      <charset val="1"/>
    </font>
    <font>
      <b/>
      <sz val="9"/>
      <color rgb="FFFFFFFF"/>
      <name val="Segoe UI"/>
      <family val="2"/>
      <charset val="1"/>
    </font>
    <font>
      <b/>
      <sz val="11"/>
      <color rgb="FF1B3A6B"/>
      <name val="Segoe UI"/>
      <family val="2"/>
      <charset val="1"/>
    </font>
    <font>
      <b/>
      <sz val="12"/>
      <color rgb="FFFFFFFF"/>
      <name val="Segoe UI"/>
      <family val="2"/>
      <charset val="1"/>
    </font>
    <font>
      <i/>
      <sz val="9"/>
      <color rgb="FFC0392B"/>
      <name val="Segoe UI"/>
      <family val="2"/>
      <charset val="1"/>
    </font>
    <font>
      <sz val="9"/>
      <color rgb="FF2C3E50"/>
      <name val="Segoe UI"/>
      <family val="2"/>
      <charset val="1"/>
    </font>
    <font>
      <b/>
      <sz val="9"/>
      <color rgb="FF27AE60"/>
      <name val="Segoe UI"/>
      <family val="2"/>
      <charset val="1"/>
    </font>
    <font>
      <i/>
      <sz val="8"/>
      <color rgb="FFAAB4C2"/>
      <name val="Segoe UI"/>
      <family val="2"/>
      <charset val="1"/>
    </font>
    <font>
      <b/>
      <sz val="9"/>
      <color rgb="FFE67E22"/>
      <name val="Segoe UI"/>
      <family val="2"/>
      <charset val="1"/>
    </font>
    <font>
      <b/>
      <sz val="14"/>
      <color rgb="FFFFFFFF"/>
      <name val="Segoe UI"/>
      <family val="2"/>
      <charset val="1"/>
    </font>
    <font>
      <b/>
      <sz val="22"/>
      <color rgb="FFFFFFFF"/>
      <name val="Segoe UI"/>
      <family val="2"/>
      <charset val="1"/>
    </font>
    <font>
      <sz val="8.5"/>
      <color rgb="FFFFFFFF"/>
      <name val="Segoe UI"/>
      <family val="2"/>
      <charset val="1"/>
    </font>
    <font>
      <b/>
      <sz val="10"/>
      <color rgb="FF2C3E50"/>
      <name val="Segoe UI"/>
      <family val="2"/>
      <charset val="1"/>
    </font>
    <font>
      <sz val="10"/>
      <color rgb="FFC0392B"/>
      <name val="Consolas"/>
      <family val="3"/>
      <charset val="1"/>
    </font>
    <font>
      <sz val="10"/>
      <color rgb="FFE67E22"/>
      <name val="Consolas"/>
      <family val="3"/>
      <charset val="1"/>
    </font>
    <font>
      <sz val="10"/>
      <color rgb="FF1B3A6B"/>
      <name val="Consolas"/>
      <family val="3"/>
      <charset val="1"/>
    </font>
    <font>
      <b/>
      <sz val="9.5"/>
      <color rgb="FFFFFFFF"/>
      <name val="Segoe UI"/>
      <family val="2"/>
      <charset val="1"/>
    </font>
    <font>
      <b/>
      <sz val="8.5"/>
      <color rgb="FFFFFFFF"/>
      <name val="Segoe UI"/>
      <family val="2"/>
      <charset val="1"/>
    </font>
    <font>
      <b/>
      <sz val="9"/>
      <color rgb="FF1B3A6B"/>
      <name val="Segoe UI"/>
      <family val="2"/>
      <charset val="1"/>
    </font>
    <font>
      <sz val="8.5"/>
      <color rgb="FF2C3E50"/>
      <name val="Segoe U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B7791F"/>
      <name val="Segoe UI"/>
      <family val="2"/>
      <charset val="1"/>
    </font>
    <font>
      <sz val="9"/>
      <color rgb="FF7A869A"/>
      <name val="Segoe UI"/>
      <family val="2"/>
      <charset val="1"/>
    </font>
    <font>
      <sz val="11"/>
      <color rgb="FF7A5C00"/>
      <name val="Segoe UI"/>
      <family val="2"/>
    </font>
    <font>
      <b/>
      <sz val="11"/>
      <color rgb="FF7A5C00"/>
      <name val="Segoe UI"/>
      <family val="2"/>
    </font>
    <font>
      <sz val="11"/>
      <color rgb="FF7A869A"/>
      <name val="Segoe UI"/>
      <family val="2"/>
      <charset val="1"/>
    </font>
    <font>
      <sz val="11"/>
      <color rgb="FF34495E"/>
      <name val="Segoe UI"/>
      <family val="2"/>
      <charset val="1"/>
    </font>
    <font>
      <sz val="10"/>
      <color rgb="FF2C3E50"/>
      <name val="Segoe UI"/>
      <family val="2"/>
      <charset val="1"/>
    </font>
    <font>
      <b/>
      <sz val="10"/>
      <color rgb="FF2C3E50"/>
      <name val="Segoe UI"/>
      <family val="2"/>
    </font>
    <font>
      <sz val="10"/>
      <color rgb="FF2C3E50"/>
      <name val="Segoe UI"/>
      <family val="2"/>
    </font>
    <font>
      <b/>
      <sz val="11"/>
      <color rgb="FFB7791F"/>
      <name val="Segoe UI"/>
      <family val="2"/>
      <charset val="1"/>
    </font>
    <font>
      <sz val="11"/>
      <color rgb="FF2C3E50"/>
      <name val="Segoe UI"/>
      <family val="2"/>
      <charset val="1"/>
    </font>
    <font>
      <i/>
      <sz val="10"/>
      <color rgb="FF808080"/>
      <name val="Segoe"/>
    </font>
    <font>
      <b/>
      <sz val="11"/>
      <color rgb="FF1A5276"/>
      <name val="Segoe UI"/>
      <family val="2"/>
      <charset val="1"/>
    </font>
    <font>
      <b/>
      <sz val="11"/>
      <color rgb="FF7A869A"/>
      <name val="Segoe U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B3A6B"/>
        <bgColor rgb="FF2C3E50"/>
      </patternFill>
    </fill>
    <fill>
      <patternFill patternType="solid">
        <fgColor rgb="FF24509B"/>
        <bgColor rgb="FF2E5A97"/>
      </patternFill>
    </fill>
    <fill>
      <patternFill patternType="solid">
        <fgColor rgb="FFF7FAFD"/>
        <bgColor rgb="FFF4F8FC"/>
      </patternFill>
    </fill>
    <fill>
      <patternFill patternType="solid">
        <fgColor rgb="FFF3F8FD"/>
        <bgColor rgb="FFF4F8FC"/>
      </patternFill>
    </fill>
    <fill>
      <patternFill patternType="solid">
        <fgColor rgb="FFFFFFFF"/>
        <bgColor rgb="FFFBFCFE"/>
      </patternFill>
    </fill>
    <fill>
      <patternFill patternType="solid">
        <fgColor rgb="FFEAF2FB"/>
        <bgColor rgb="FFEEF2F8"/>
      </patternFill>
    </fill>
    <fill>
      <patternFill patternType="solid">
        <fgColor rgb="FFFBF6E7"/>
        <bgColor rgb="FFFEF9E7"/>
      </patternFill>
    </fill>
    <fill>
      <patternFill patternType="solid">
        <fgColor rgb="FFC0392B"/>
        <bgColor rgb="FFA0522D"/>
      </patternFill>
    </fill>
    <fill>
      <patternFill patternType="solid">
        <fgColor rgb="FFE67E22"/>
        <bgColor rgb="FFB7791F"/>
      </patternFill>
    </fill>
    <fill>
      <patternFill patternType="solid">
        <fgColor rgb="FFD4A017"/>
        <bgColor rgb="FFE67E22"/>
      </patternFill>
    </fill>
    <fill>
      <patternFill patternType="solid">
        <fgColor rgb="FF27AE60"/>
        <bgColor rgb="FF2E86C1"/>
      </patternFill>
    </fill>
    <fill>
      <patternFill patternType="solid">
        <fgColor rgb="FFB7791F"/>
        <bgColor rgb="FFE67E22"/>
      </patternFill>
    </fill>
    <fill>
      <patternFill patternType="solid">
        <fgColor rgb="FFF4F8FC"/>
        <bgColor rgb="FFF3F8FD"/>
      </patternFill>
    </fill>
    <fill>
      <patternFill patternType="solid">
        <fgColor rgb="FFFBFCFE"/>
        <bgColor rgb="FFF7FAFD"/>
      </patternFill>
    </fill>
    <fill>
      <patternFill patternType="solid">
        <fgColor rgb="FFFDF0E3"/>
        <bgColor rgb="FFF9F3DB"/>
      </patternFill>
    </fill>
    <fill>
      <patternFill patternType="solid">
        <fgColor rgb="FF2E5A97"/>
        <bgColor rgb="FF24509B"/>
      </patternFill>
    </fill>
    <fill>
      <patternFill patternType="solid">
        <fgColor rgb="FF1A5276"/>
        <bgColor rgb="FF24509B"/>
      </patternFill>
    </fill>
    <fill>
      <patternFill patternType="solid">
        <fgColor rgb="FFEEF2F8"/>
        <bgColor rgb="FFEEF2F7"/>
      </patternFill>
    </fill>
    <fill>
      <patternFill patternType="solid">
        <fgColor rgb="FFF9F3DB"/>
        <bgColor rgb="FFFDF0E3"/>
      </patternFill>
    </fill>
    <fill>
      <patternFill patternType="solid">
        <fgColor rgb="FFF0F2F5"/>
        <bgColor rgb="FFEEF2F7"/>
      </patternFill>
    </fill>
  </fills>
  <borders count="14">
    <border>
      <left/>
      <right/>
      <top/>
      <bottom/>
      <diagonal/>
    </border>
    <border>
      <left style="thin">
        <color rgb="FF1B3A6B"/>
      </left>
      <right/>
      <top style="thin">
        <color rgb="FF1B3A6B"/>
      </top>
      <bottom style="thin">
        <color rgb="FF1B3A6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C0392B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E4EBF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CE4EF"/>
      </bottom>
      <diagonal/>
    </border>
    <border>
      <left style="thin">
        <color rgb="FFDCE4EF"/>
      </left>
      <right style="thin">
        <color rgb="FFDCE4EF"/>
      </right>
      <top style="thin">
        <color rgb="FFDCE4EF"/>
      </top>
      <bottom style="thin">
        <color rgb="FFDCE4EF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rgb="FFD5DEEC"/>
      </left>
      <right/>
      <top style="thin">
        <color rgb="FFD5DEEC"/>
      </top>
      <bottom style="thin">
        <color rgb="FFD5DEE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" fillId="0" borderId="5" xfId="0" applyFont="1" applyBorder="1"/>
    <xf numFmtId="0" fontId="8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9" borderId="7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2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left" vertical="center"/>
    </xf>
    <xf numFmtId="0" fontId="20" fillId="6" borderId="9" xfId="0" applyFont="1" applyFill="1" applyBorder="1" applyAlignment="1">
      <alignment horizontal="center" vertical="center"/>
    </xf>
    <xf numFmtId="1" fontId="19" fillId="6" borderId="9" xfId="0" applyNumberFormat="1" applyFont="1" applyFill="1" applyBorder="1" applyAlignment="1">
      <alignment horizontal="center" vertical="center"/>
    </xf>
    <xf numFmtId="3" fontId="19" fillId="6" borderId="9" xfId="0" applyNumberFormat="1" applyFont="1" applyFill="1" applyBorder="1" applyAlignment="1">
      <alignment horizontal="center" vertical="center"/>
    </xf>
    <xf numFmtId="164" fontId="19" fillId="6" borderId="9" xfId="0" applyNumberFormat="1" applyFont="1" applyFill="1" applyBorder="1" applyAlignment="1">
      <alignment horizontal="center" vertical="center"/>
    </xf>
    <xf numFmtId="0" fontId="19" fillId="14" borderId="9" xfId="0" applyFont="1" applyFill="1" applyBorder="1" applyAlignment="1">
      <alignment horizontal="center" vertical="center"/>
    </xf>
    <xf numFmtId="0" fontId="19" fillId="14" borderId="9" xfId="0" applyFont="1" applyFill="1" applyBorder="1" applyAlignment="1">
      <alignment horizontal="left" vertical="center"/>
    </xf>
    <xf numFmtId="0" fontId="20" fillId="14" borderId="9" xfId="0" applyFont="1" applyFill="1" applyBorder="1" applyAlignment="1">
      <alignment horizontal="center" vertical="center"/>
    </xf>
    <xf numFmtId="1" fontId="19" fillId="14" borderId="9" xfId="0" applyNumberFormat="1" applyFont="1" applyFill="1" applyBorder="1" applyAlignment="1">
      <alignment horizontal="center" vertical="center"/>
    </xf>
    <xf numFmtId="3" fontId="19" fillId="14" borderId="9" xfId="0" applyNumberFormat="1" applyFont="1" applyFill="1" applyBorder="1" applyAlignment="1">
      <alignment horizontal="center" vertical="center"/>
    </xf>
    <xf numFmtId="164" fontId="19" fillId="14" borderId="9" xfId="0" applyNumberFormat="1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left" vertical="center"/>
    </xf>
    <xf numFmtId="1" fontId="19" fillId="15" borderId="10" xfId="0" applyNumberFormat="1" applyFont="1" applyFill="1" applyBorder="1" applyAlignment="1">
      <alignment horizontal="center" vertical="center"/>
    </xf>
    <xf numFmtId="3" fontId="19" fillId="15" borderId="10" xfId="0" applyNumberFormat="1" applyFont="1" applyFill="1" applyBorder="1" applyAlignment="1">
      <alignment horizontal="center" vertical="center"/>
    </xf>
    <xf numFmtId="164" fontId="19" fillId="15" borderId="10" xfId="0" applyNumberFormat="1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left" vertical="center"/>
    </xf>
    <xf numFmtId="0" fontId="19" fillId="16" borderId="9" xfId="0" applyFont="1" applyFill="1" applyBorder="1" applyAlignment="1">
      <alignment horizontal="center" vertical="center"/>
    </xf>
    <xf numFmtId="0" fontId="19" fillId="16" borderId="9" xfId="0" applyFont="1" applyFill="1" applyBorder="1" applyAlignment="1">
      <alignment horizontal="left" vertical="center"/>
    </xf>
    <xf numFmtId="0" fontId="22" fillId="16" borderId="9" xfId="0" applyFont="1" applyFill="1" applyBorder="1" applyAlignment="1">
      <alignment horizontal="center" vertical="center"/>
    </xf>
    <xf numFmtId="1" fontId="19" fillId="16" borderId="9" xfId="0" applyNumberFormat="1" applyFont="1" applyFill="1" applyBorder="1" applyAlignment="1">
      <alignment horizontal="center" vertical="center"/>
    </xf>
    <xf numFmtId="3" fontId="19" fillId="16" borderId="9" xfId="0" applyNumberFormat="1" applyFont="1" applyFill="1" applyBorder="1" applyAlignment="1">
      <alignment horizontal="center" vertical="center"/>
    </xf>
    <xf numFmtId="164" fontId="19" fillId="16" borderId="9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2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left" vertical="center"/>
    </xf>
    <xf numFmtId="0" fontId="9" fillId="14" borderId="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left" vertical="center"/>
    </xf>
    <xf numFmtId="1" fontId="33" fillId="6" borderId="9" xfId="0" applyNumberFormat="1" applyFont="1" applyFill="1" applyBorder="1" applyAlignment="1">
      <alignment horizontal="center" vertical="center"/>
    </xf>
    <xf numFmtId="166" fontId="33" fillId="6" borderId="9" xfId="0" applyNumberFormat="1" applyFont="1" applyFill="1" applyBorder="1" applyAlignment="1">
      <alignment horizontal="center" vertical="center"/>
    </xf>
    <xf numFmtId="165" fontId="33" fillId="6" borderId="9" xfId="0" applyNumberFormat="1" applyFont="1" applyFill="1" applyBorder="1" applyAlignment="1">
      <alignment horizontal="center" vertical="center"/>
    </xf>
    <xf numFmtId="167" fontId="33" fillId="6" borderId="9" xfId="0" applyNumberFormat="1" applyFont="1" applyFill="1" applyBorder="1" applyAlignment="1">
      <alignment horizontal="center" vertical="center"/>
    </xf>
    <xf numFmtId="168" fontId="33" fillId="6" borderId="9" xfId="0" applyNumberFormat="1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left" vertical="center" wrapText="1"/>
    </xf>
    <xf numFmtId="3" fontId="33" fillId="6" borderId="9" xfId="0" applyNumberFormat="1" applyFont="1" applyFill="1" applyBorder="1" applyAlignment="1">
      <alignment horizontal="center" vertical="center"/>
    </xf>
    <xf numFmtId="164" fontId="33" fillId="6" borderId="9" xfId="0" applyNumberFormat="1" applyFont="1" applyFill="1" applyBorder="1" applyAlignment="1">
      <alignment horizontal="center" vertical="center"/>
    </xf>
    <xf numFmtId="0" fontId="32" fillId="14" borderId="9" xfId="0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left" vertical="center"/>
    </xf>
    <xf numFmtId="1" fontId="33" fillId="14" borderId="9" xfId="0" applyNumberFormat="1" applyFont="1" applyFill="1" applyBorder="1" applyAlignment="1">
      <alignment horizontal="center" vertical="center"/>
    </xf>
    <xf numFmtId="166" fontId="33" fillId="14" borderId="9" xfId="0" applyNumberFormat="1" applyFont="1" applyFill="1" applyBorder="1" applyAlignment="1">
      <alignment horizontal="center" vertical="center"/>
    </xf>
    <xf numFmtId="165" fontId="33" fillId="14" borderId="9" xfId="0" applyNumberFormat="1" applyFont="1" applyFill="1" applyBorder="1" applyAlignment="1">
      <alignment horizontal="center" vertical="center"/>
    </xf>
    <xf numFmtId="167" fontId="33" fillId="14" borderId="9" xfId="0" applyNumberFormat="1" applyFont="1" applyFill="1" applyBorder="1" applyAlignment="1">
      <alignment horizontal="center" vertical="center"/>
    </xf>
    <xf numFmtId="168" fontId="33" fillId="14" borderId="9" xfId="0" applyNumberFormat="1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left" vertical="center" wrapText="1"/>
    </xf>
    <xf numFmtId="3" fontId="33" fillId="14" borderId="9" xfId="0" applyNumberFormat="1" applyFont="1" applyFill="1" applyBorder="1" applyAlignment="1">
      <alignment horizontal="center" vertical="center"/>
    </xf>
    <xf numFmtId="164" fontId="33" fillId="14" borderId="9" xfId="0" applyNumberFormat="1" applyFont="1" applyFill="1" applyBorder="1" applyAlignment="1">
      <alignment horizontal="center" vertical="center"/>
    </xf>
    <xf numFmtId="0" fontId="34" fillId="18" borderId="12" xfId="0" applyFont="1" applyFill="1" applyBorder="1" applyAlignment="1">
      <alignment horizontal="center" vertical="center" wrapText="1"/>
    </xf>
    <xf numFmtId="167" fontId="9" fillId="6" borderId="9" xfId="0" applyNumberFormat="1" applyFont="1" applyFill="1" applyBorder="1" applyAlignment="1">
      <alignment horizontal="center" vertical="center"/>
    </xf>
    <xf numFmtId="168" fontId="9" fillId="6" borderId="9" xfId="0" applyNumberFormat="1" applyFont="1" applyFill="1" applyBorder="1" applyAlignment="1">
      <alignment horizontal="center" vertical="center"/>
    </xf>
    <xf numFmtId="166" fontId="35" fillId="0" borderId="12" xfId="0" applyNumberFormat="1" applyFont="1" applyBorder="1" applyAlignment="1">
      <alignment horizontal="center" vertical="center" wrapText="1"/>
    </xf>
    <xf numFmtId="167" fontId="9" fillId="14" borderId="9" xfId="0" applyNumberFormat="1" applyFont="1" applyFill="1" applyBorder="1" applyAlignment="1">
      <alignment horizontal="center" vertical="center"/>
    </xf>
    <xf numFmtId="168" fontId="9" fillId="14" borderId="9" xfId="0" applyNumberFormat="1" applyFont="1" applyFill="1" applyBorder="1" applyAlignment="1">
      <alignment horizontal="center" vertical="center"/>
    </xf>
    <xf numFmtId="166" fontId="35" fillId="19" borderId="12" xfId="0" applyNumberFormat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" fillId="0" borderId="13" xfId="0" applyFont="1" applyBorder="1"/>
    <xf numFmtId="0" fontId="16" fillId="4" borderId="6" xfId="0" applyFont="1" applyFill="1" applyBorder="1" applyAlignment="1">
      <alignment horizontal="left" vertical="center" indent="1"/>
    </xf>
    <xf numFmtId="0" fontId="16" fillId="6" borderId="6" xfId="0" applyFont="1" applyFill="1" applyBorder="1" applyAlignment="1">
      <alignment horizontal="left" vertical="center" indent="1"/>
    </xf>
    <xf numFmtId="0" fontId="42" fillId="4" borderId="6" xfId="0" applyFont="1" applyFill="1" applyBorder="1" applyAlignment="1">
      <alignment horizontal="left" vertical="center" wrapText="1"/>
    </xf>
    <xf numFmtId="0" fontId="42" fillId="6" borderId="6" xfId="0" applyFont="1" applyFill="1" applyBorder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45" fillId="6" borderId="9" xfId="0" applyFont="1" applyFill="1" applyBorder="1" applyAlignment="1">
      <alignment horizontal="center" vertical="center"/>
    </xf>
    <xf numFmtId="0" fontId="46" fillId="6" borderId="9" xfId="0" applyFont="1" applyFill="1" applyBorder="1" applyAlignment="1">
      <alignment horizontal="left" vertical="center"/>
    </xf>
    <xf numFmtId="0" fontId="46" fillId="6" borderId="9" xfId="0" applyFont="1" applyFill="1" applyBorder="1" applyAlignment="1">
      <alignment horizontal="center" vertical="center"/>
    </xf>
    <xf numFmtId="1" fontId="46" fillId="6" borderId="9" xfId="0" applyNumberFormat="1" applyFont="1" applyFill="1" applyBorder="1" applyAlignment="1">
      <alignment horizontal="center" vertical="center"/>
    </xf>
    <xf numFmtId="165" fontId="46" fillId="6" borderId="9" xfId="0" applyNumberFormat="1" applyFont="1" applyFill="1" applyBorder="1" applyAlignment="1">
      <alignment horizontal="center" vertical="center"/>
    </xf>
    <xf numFmtId="0" fontId="45" fillId="14" borderId="9" xfId="0" applyFont="1" applyFill="1" applyBorder="1" applyAlignment="1">
      <alignment horizontal="center" vertical="center"/>
    </xf>
    <xf numFmtId="0" fontId="46" fillId="14" borderId="9" xfId="0" applyFont="1" applyFill="1" applyBorder="1" applyAlignment="1">
      <alignment horizontal="left" vertical="center"/>
    </xf>
    <xf numFmtId="0" fontId="46" fillId="14" borderId="9" xfId="0" applyFont="1" applyFill="1" applyBorder="1" applyAlignment="1">
      <alignment horizontal="center" vertical="center"/>
    </xf>
    <xf numFmtId="1" fontId="46" fillId="14" borderId="9" xfId="0" applyNumberFormat="1" applyFont="1" applyFill="1" applyBorder="1" applyAlignment="1">
      <alignment horizontal="center" vertical="center"/>
    </xf>
    <xf numFmtId="165" fontId="46" fillId="14" borderId="9" xfId="0" applyNumberFormat="1" applyFont="1" applyFill="1" applyBorder="1" applyAlignment="1">
      <alignment horizontal="center" vertical="center"/>
    </xf>
    <xf numFmtId="0" fontId="47" fillId="0" borderId="0" xfId="0" applyFont="1"/>
    <xf numFmtId="0" fontId="42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/>
    </xf>
    <xf numFmtId="0" fontId="48" fillId="20" borderId="9" xfId="0" applyFont="1" applyFill="1" applyBorder="1" applyAlignment="1">
      <alignment horizontal="center" vertical="center"/>
    </xf>
    <xf numFmtId="0" fontId="49" fillId="21" borderId="9" xfId="0" applyFont="1" applyFill="1" applyBorder="1" applyAlignment="1">
      <alignment horizontal="center" vertical="center"/>
    </xf>
    <xf numFmtId="2" fontId="49" fillId="21" borderId="9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left" vertical="center" wrapText="1"/>
    </xf>
    <xf numFmtId="0" fontId="16" fillId="14" borderId="9" xfId="0" applyFont="1" applyFill="1" applyBorder="1" applyAlignment="1">
      <alignment horizontal="left" vertical="center" wrapText="1"/>
    </xf>
    <xf numFmtId="0" fontId="42" fillId="6" borderId="9" xfId="0" applyFont="1" applyFill="1" applyBorder="1" applyAlignment="1">
      <alignment horizontal="left" vertical="center" wrapText="1"/>
    </xf>
    <xf numFmtId="0" fontId="42" fillId="14" borderId="9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vertical="center" indent="1"/>
    </xf>
    <xf numFmtId="0" fontId="38" fillId="8" borderId="0" xfId="0" applyFont="1" applyFill="1" applyAlignment="1">
      <alignment horizontal="left" vertical="center" wrapText="1"/>
    </xf>
    <xf numFmtId="0" fontId="41" fillId="7" borderId="0" xfId="0" applyFont="1" applyFill="1" applyAlignment="1">
      <alignment horizontal="left" vertical="center" wrapText="1"/>
    </xf>
    <xf numFmtId="0" fontId="40" fillId="5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center" indent="1"/>
    </xf>
    <xf numFmtId="0" fontId="18" fillId="0" borderId="8" xfId="0" applyFont="1" applyBorder="1" applyAlignment="1">
      <alignment horizontal="left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  <xf numFmtId="0" fontId="25" fillId="2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46" fillId="7" borderId="0" xfId="0" applyFont="1" applyFill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16">
    <dxf>
      <font>
        <sz val="9"/>
        <color rgb="FF7F6000"/>
        <name val="Arial"/>
        <charset val="1"/>
      </font>
      <fill>
        <patternFill>
          <bgColor rgb="FFFFF2CC"/>
        </patternFill>
      </fill>
    </dxf>
    <dxf>
      <font>
        <sz val="9"/>
        <color rgb="FF375623"/>
        <name val="Arial"/>
        <charset val="1"/>
      </font>
      <fill>
        <patternFill>
          <bgColor rgb="FFE2F0D9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8"/>
        <color rgb="FF27AE60"/>
        <name val="Segoe UI"/>
        <charset val="1"/>
      </font>
      <fill>
        <patternFill>
          <bgColor rgb="FFE8F6EF"/>
        </patternFill>
      </fill>
    </dxf>
    <dxf>
      <font>
        <b/>
        <sz val="8"/>
        <color rgb="FF27AE60"/>
        <name val="Segoe UI"/>
        <charset val="1"/>
      </font>
      <fill>
        <patternFill>
          <bgColor rgb="FFE8F6EF"/>
        </patternFill>
      </fill>
    </dxf>
    <dxf>
      <font>
        <b/>
        <sz val="8"/>
        <color rgb="FF27AE60"/>
        <name val="Segoe UI"/>
        <charset val="1"/>
      </font>
      <fill>
        <patternFill>
          <bgColor rgb="FFE8F6EF"/>
        </patternFill>
      </fill>
    </dxf>
    <dxf>
      <font>
        <b/>
        <sz val="8"/>
        <color rgb="FFB7791F"/>
        <name val="Segoe UI"/>
        <charset val="1"/>
      </font>
      <fill>
        <patternFill>
          <bgColor rgb="FFFEF9E7"/>
        </patternFill>
      </fill>
    </dxf>
    <dxf>
      <font>
        <b/>
        <sz val="8"/>
        <color rgb="FFA0522D"/>
        <name val="Segoe UI"/>
        <charset val="1"/>
      </font>
      <fill>
        <patternFill>
          <bgColor rgb="FFFDF0E3"/>
        </patternFill>
      </fill>
    </dxf>
    <dxf>
      <font>
        <b/>
        <sz val="8"/>
        <color rgb="FFC0392B"/>
        <name val="Segoe UI"/>
        <charset val="1"/>
      </font>
      <fill>
        <patternFill>
          <bgColor rgb="FFFBE9E7"/>
        </patternFill>
      </fill>
    </dxf>
    <dxf>
      <font>
        <b/>
        <sz val="8"/>
        <color rgb="FFC0392B"/>
        <name val="Segoe UI"/>
        <charset val="1"/>
      </font>
      <fill>
        <patternFill>
          <bgColor rgb="FFFBE9E7"/>
        </patternFill>
      </fill>
    </dxf>
    <dxf>
      <font>
        <b/>
        <sz val="8"/>
        <color rgb="FF27AE60"/>
        <name val="Segoe UI"/>
        <charset val="1"/>
      </font>
      <fill>
        <patternFill>
          <bgColor rgb="FFE8F6EF"/>
        </patternFill>
      </fill>
    </dxf>
    <dxf>
      <font>
        <b/>
        <sz val="8"/>
        <color rgb="FFA0522D"/>
        <name val="Segoe UI"/>
        <charset val="1"/>
      </font>
      <fill>
        <patternFill>
          <bgColor rgb="FFFDF0E3"/>
        </patternFill>
      </fill>
    </dxf>
    <dxf>
      <font>
        <b/>
        <sz val="8"/>
        <color rgb="FFC0392B"/>
        <name val="Segoe UI"/>
        <charset val="1"/>
      </font>
      <fill>
        <patternFill>
          <bgColor rgb="FFFBE9E7"/>
        </patternFill>
      </fill>
    </dxf>
    <dxf>
      <font>
        <b/>
        <sz val="10"/>
        <color rgb="FFFFFFFF"/>
        <name val="Arial"/>
        <charset val="1"/>
      </font>
      <fill>
        <patternFill>
          <bgColor rgb="FF27AE60"/>
        </patternFill>
      </fill>
    </dxf>
    <dxf>
      <font>
        <b/>
        <sz val="10"/>
        <color rgb="FFFFFFFF"/>
        <name val="Arial"/>
        <charset val="1"/>
      </font>
      <fill>
        <patternFill>
          <bgColor rgb="FFE67E22"/>
        </patternFill>
      </fill>
    </dxf>
    <dxf>
      <font>
        <b/>
        <sz val="10"/>
        <color rgb="FFFFFFFF"/>
        <name val="Arial"/>
        <charset val="1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BF6E7"/>
      <rgbColor rgb="FF0000FF"/>
      <rgbColor rgb="FFE2F0D9"/>
      <rgbColor rgb="FFFEF9E7"/>
      <rgbColor rgb="FFEEF2F8"/>
      <rgbColor rgb="FF800000"/>
      <rgbColor rgb="FF006100"/>
      <rgbColor rgb="FF000080"/>
      <rgbColor rgb="FF7F6000"/>
      <rgbColor rgb="FFFBFCFE"/>
      <rgbColor rgb="FF1A5276"/>
      <rgbColor rgb="FFAAB4C2"/>
      <rgbColor rgb="FF808080"/>
      <rgbColor rgb="FFDCE4EF"/>
      <rgbColor rgb="FFA0522D"/>
      <rgbColor rgb="FFFFF2CC"/>
      <rgbColor rgb="FFE8F6EF"/>
      <rgbColor rgb="FF660066"/>
      <rgbColor rgb="FFB7791F"/>
      <rgbColor rgb="FF2E5A97"/>
      <rgbColor rgb="FFC7D6EA"/>
      <rgbColor rgb="FF000080"/>
      <rgbColor rgb="FFF7FAFD"/>
      <rgbColor rgb="FFFDF0E3"/>
      <rgbColor rgb="FFF0F2F5"/>
      <rgbColor rgb="FF800080"/>
      <rgbColor rgb="FF800000"/>
      <rgbColor rgb="FFF4F8FC"/>
      <rgbColor rgb="FF0000FF"/>
      <rgbColor rgb="FFF3F8FD"/>
      <rgbColor rgb="FFEAF2FB"/>
      <rgbColor rgb="FFC6EFCE"/>
      <rgbColor rgb="FFF9F3DB"/>
      <rgbColor rgb="FFCFE0F5"/>
      <rgbColor rgb="FFD5DEEC"/>
      <rgbColor rgb="FFD9D9D9"/>
      <rgbColor rgb="FFEEDE9A"/>
      <rgbColor rgb="FF2E86C1"/>
      <rgbColor rgb="FFEEF2F7"/>
      <rgbColor rgb="FFE4EBF4"/>
      <rgbColor rgb="FFFBE9E7"/>
      <rgbColor rgb="FFD4A017"/>
      <rgbColor rgb="FFE67E22"/>
      <rgbColor rgb="FF34495E"/>
      <rgbColor rgb="FF7A869A"/>
      <rgbColor rgb="FF1B3A6B"/>
      <rgbColor rgb="FF27AE60"/>
      <rgbColor rgb="FF003300"/>
      <rgbColor rgb="FF375623"/>
      <rgbColor rgb="FFC0392B"/>
      <rgbColor rgb="FF7A5C00"/>
      <rgbColor rgb="FF24509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304920</xdr:colOff>
      <xdr:row>0</xdr:row>
      <xdr:rowOff>114480</xdr:rowOff>
    </xdr:from>
    <xdr:to>
      <xdr:col>3</xdr:col>
      <xdr:colOff>2052720</xdr:colOff>
      <xdr:row>2</xdr:row>
      <xdr:rowOff>617040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1807" b="23200"/>
        <a:stretch/>
      </xdr:blipFill>
      <xdr:spPr>
        <a:xfrm>
          <a:off x="2834280" y="114480"/>
          <a:ext cx="3791880" cy="1121760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0</xdr:col>
      <xdr:colOff>45660</xdr:colOff>
      <xdr:row>7</xdr:row>
      <xdr:rowOff>30660</xdr:rowOff>
    </xdr:from>
    <xdr:ext cx="266400" cy="266520"/>
    <xdr:pic>
      <xdr:nvPicPr>
        <xdr:cNvPr id="4" name="Imagen 5" descr="Peligro - Iconos gratis de señales">
          <a:extLst>
            <a:ext uri="{FF2B5EF4-FFF2-40B4-BE49-F238E27FC236}">
              <a16:creationId xmlns:a16="http://schemas.microsoft.com/office/drawing/2014/main" id="{64D49C67-E73F-4478-A841-41F30D3C56D6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660" y="2644320"/>
          <a:ext cx="266400" cy="266520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AZ160"/>
  <sheetViews>
    <sheetView showGridLines="0" tabSelected="1" zoomScaleNormal="100" workbookViewId="0">
      <selection activeCell="E1" sqref="E1"/>
    </sheetView>
  </sheetViews>
  <sheetFormatPr baseColWidth="10" defaultColWidth="8.6640625" defaultRowHeight="14.4"/>
  <cols>
    <col min="1" max="1" width="2.44140625" customWidth="1"/>
    <col min="2" max="2" width="41.77734375" customWidth="1"/>
    <col min="3" max="3" width="29" customWidth="1"/>
    <col min="4" max="4" width="111.109375" customWidth="1"/>
    <col min="5" max="8" width="10" customWidth="1"/>
    <col min="52" max="52" width="13" hidden="1" customWidth="1"/>
  </cols>
  <sheetData>
    <row r="1" spans="1:8" ht="15" customHeight="1">
      <c r="B1" s="1"/>
      <c r="C1" s="1"/>
      <c r="D1" s="1"/>
    </row>
    <row r="2" spans="1:8" ht="33.75" customHeight="1">
      <c r="B2" s="1"/>
      <c r="C2" s="1"/>
      <c r="D2" s="1"/>
    </row>
    <row r="3" spans="1:8" ht="66" customHeight="1">
      <c r="B3" s="1"/>
      <c r="C3" s="1"/>
      <c r="D3" s="1"/>
    </row>
    <row r="4" spans="1:8" ht="17.399999999999999" customHeight="1">
      <c r="A4" s="2"/>
      <c r="B4" s="3" t="s">
        <v>662</v>
      </c>
      <c r="C4" s="2"/>
      <c r="D4" s="2"/>
      <c r="E4" s="2"/>
      <c r="F4" s="2"/>
      <c r="G4" s="2"/>
      <c r="H4" s="2"/>
    </row>
    <row r="5" spans="1:8" ht="15" customHeight="1">
      <c r="A5" s="2"/>
      <c r="B5" s="2"/>
      <c r="C5" s="2"/>
      <c r="D5" s="2"/>
      <c r="E5" s="2"/>
      <c r="F5" s="2"/>
      <c r="G5" s="2"/>
      <c r="H5" s="2"/>
    </row>
    <row r="6" spans="1:8" ht="43.5" customHeight="1">
      <c r="A6" s="2"/>
      <c r="B6" s="4">
        <f>'⚙️ SUPUESTOS'!C28</f>
        <v>203</v>
      </c>
      <c r="C6" s="5" t="str">
        <f>'📊 PANEL'!V2&amp;" / "&amp;'📊 PANEL'!V3&amp;" / "&amp;'📊 PANEL'!V4</f>
        <v>67 / 68 / 68</v>
      </c>
      <c r="D6" s="2"/>
      <c r="E6" s="2"/>
      <c r="F6" s="2"/>
      <c r="G6" s="2"/>
      <c r="H6" s="2"/>
    </row>
    <row r="7" spans="1:8" ht="15.75" customHeight="1">
      <c r="A7" s="2"/>
      <c r="B7" s="6" t="s">
        <v>0</v>
      </c>
      <c r="C7" s="7" t="s">
        <v>1</v>
      </c>
      <c r="D7" s="8"/>
      <c r="E7" s="2"/>
      <c r="F7" s="2"/>
      <c r="G7" s="2"/>
      <c r="H7" s="2"/>
    </row>
    <row r="8" spans="1:8" ht="15.75" customHeight="1">
      <c r="A8" s="2"/>
      <c r="D8" s="2"/>
      <c r="E8" s="2"/>
      <c r="F8" s="2"/>
      <c r="G8" s="2"/>
      <c r="H8" s="2"/>
    </row>
    <row r="9" spans="1:8" ht="21.75" customHeight="1">
      <c r="A9" s="2"/>
      <c r="B9" s="120" t="s">
        <v>659</v>
      </c>
      <c r="C9" s="120"/>
      <c r="D9" s="120"/>
      <c r="E9" s="2"/>
      <c r="F9" s="2"/>
      <c r="G9" s="2"/>
      <c r="H9" s="2"/>
    </row>
    <row r="10" spans="1:8" ht="15" customHeight="1">
      <c r="A10" s="2"/>
      <c r="B10" s="121" t="s">
        <v>663</v>
      </c>
      <c r="C10" s="121"/>
      <c r="D10" s="121"/>
      <c r="E10" s="2"/>
      <c r="F10" s="2"/>
      <c r="G10" s="2"/>
      <c r="H10" s="2"/>
    </row>
    <row r="11" spans="1:8" ht="15" customHeight="1">
      <c r="A11" s="2"/>
      <c r="B11" s="121"/>
      <c r="C11" s="121"/>
      <c r="D11" s="121"/>
      <c r="E11" s="2"/>
      <c r="F11" s="2"/>
      <c r="G11" s="2"/>
      <c r="H11" s="2"/>
    </row>
    <row r="12" spans="1:8" ht="15" customHeight="1">
      <c r="A12" s="2"/>
      <c r="B12" s="121"/>
      <c r="C12" s="121"/>
      <c r="D12" s="121"/>
      <c r="E12" s="2"/>
      <c r="F12" s="2"/>
      <c r="G12" s="2"/>
      <c r="H12" s="2"/>
    </row>
    <row r="13" spans="1:8" ht="30" customHeight="1">
      <c r="A13" s="2"/>
      <c r="B13" s="121"/>
      <c r="C13" s="121"/>
      <c r="D13" s="121"/>
      <c r="E13" s="2"/>
      <c r="F13" s="2"/>
      <c r="G13" s="2"/>
      <c r="H13" s="2"/>
    </row>
    <row r="14" spans="1:8" ht="15" customHeight="1">
      <c r="A14" s="2"/>
      <c r="B14" s="121"/>
      <c r="C14" s="121"/>
      <c r="D14" s="121"/>
      <c r="E14" s="2"/>
      <c r="F14" s="2"/>
      <c r="G14" s="2"/>
      <c r="H14" s="2"/>
    </row>
    <row r="15" spans="1:8" ht="15" customHeight="1">
      <c r="A15" s="2"/>
      <c r="B15" s="2"/>
      <c r="C15" s="2"/>
      <c r="D15" s="2"/>
      <c r="E15" s="2"/>
      <c r="F15" s="2"/>
      <c r="G15" s="2"/>
      <c r="H15" s="2"/>
    </row>
    <row r="16" spans="1:8" ht="21.75" customHeight="1">
      <c r="A16" s="2"/>
      <c r="B16" s="120" t="s">
        <v>683</v>
      </c>
      <c r="C16" s="120"/>
      <c r="D16" s="120"/>
      <c r="E16" s="2"/>
      <c r="F16" s="2"/>
      <c r="G16" s="2"/>
      <c r="H16" s="2"/>
    </row>
    <row r="17" spans="1:8" ht="18" customHeight="1">
      <c r="A17" s="2"/>
      <c r="B17" s="91" t="s">
        <v>2</v>
      </c>
      <c r="C17" s="9" t="s">
        <v>3</v>
      </c>
      <c r="D17" s="93" t="s">
        <v>657</v>
      </c>
      <c r="E17" s="2"/>
      <c r="F17" s="2"/>
      <c r="G17" s="2"/>
      <c r="H17" s="2"/>
    </row>
    <row r="18" spans="1:8" ht="18" customHeight="1">
      <c r="A18" s="2"/>
      <c r="B18" s="92" t="s">
        <v>4</v>
      </c>
      <c r="C18" s="10" t="s">
        <v>5</v>
      </c>
      <c r="D18" s="94" t="s">
        <v>677</v>
      </c>
      <c r="E18" s="2"/>
      <c r="F18" s="2"/>
      <c r="G18" s="2"/>
      <c r="H18" s="2"/>
    </row>
    <row r="19" spans="1:8" ht="18" customHeight="1">
      <c r="A19" s="2"/>
      <c r="B19" s="91" t="s">
        <v>6</v>
      </c>
      <c r="C19" s="11" t="s">
        <v>7</v>
      </c>
      <c r="D19" s="93" t="s">
        <v>679</v>
      </c>
      <c r="E19" s="2"/>
      <c r="F19" s="2"/>
      <c r="G19" s="2"/>
      <c r="H19" s="2"/>
    </row>
    <row r="20" spans="1:8" ht="18" customHeight="1">
      <c r="A20" s="2"/>
      <c r="B20" s="92" t="s">
        <v>8</v>
      </c>
      <c r="C20" s="12" t="s">
        <v>9</v>
      </c>
      <c r="D20" s="94" t="s">
        <v>678</v>
      </c>
      <c r="E20" s="2"/>
      <c r="F20" s="2"/>
      <c r="G20" s="2"/>
      <c r="H20" s="2"/>
    </row>
    <row r="21" spans="1:8" ht="15" customHeight="1">
      <c r="A21" s="2"/>
      <c r="B21" s="2"/>
      <c r="C21" s="2"/>
      <c r="D21" s="2"/>
      <c r="E21" s="2"/>
      <c r="F21" s="2"/>
      <c r="G21" s="2"/>
      <c r="H21" s="2"/>
    </row>
    <row r="22" spans="1:8" ht="15" customHeight="1">
      <c r="A22" s="2"/>
      <c r="B22" s="13" t="s">
        <v>665</v>
      </c>
      <c r="C22" s="2"/>
      <c r="D22" s="2"/>
      <c r="E22" s="2"/>
      <c r="F22" s="2"/>
      <c r="G22" s="2"/>
      <c r="H22" s="2"/>
    </row>
    <row r="23" spans="1:8" ht="15" customHeight="1">
      <c r="A23" s="2"/>
      <c r="B23" s="2"/>
      <c r="C23" s="2"/>
      <c r="D23" s="2"/>
      <c r="E23" s="2"/>
      <c r="F23" s="2"/>
      <c r="G23" s="2"/>
      <c r="H23" s="2"/>
    </row>
    <row r="24" spans="1:8" ht="21.75" customHeight="1">
      <c r="A24" s="2"/>
      <c r="B24" s="120" t="s">
        <v>10</v>
      </c>
      <c r="C24" s="120"/>
      <c r="D24" s="120"/>
      <c r="E24" s="2"/>
      <c r="F24" s="2"/>
      <c r="G24" s="2"/>
      <c r="H24" s="2"/>
    </row>
    <row r="25" spans="1:8" ht="21.75" customHeight="1">
      <c r="A25" s="2"/>
      <c r="B25" s="122" t="s">
        <v>666</v>
      </c>
      <c r="C25" s="122"/>
      <c r="D25" s="122"/>
      <c r="E25" s="2"/>
      <c r="F25" s="2"/>
      <c r="G25" s="2"/>
      <c r="H25" s="2"/>
    </row>
    <row r="26" spans="1:8" ht="28.2" customHeight="1">
      <c r="A26" s="2"/>
      <c r="B26" s="122"/>
      <c r="C26" s="122"/>
      <c r="D26" s="122"/>
      <c r="E26" s="2"/>
      <c r="F26" s="2"/>
      <c r="G26" s="2"/>
      <c r="H26" s="2"/>
    </row>
    <row r="27" spans="1:8" ht="23.25" customHeight="1">
      <c r="A27" s="2"/>
      <c r="B27" s="14" t="s">
        <v>11</v>
      </c>
      <c r="C27" s="2"/>
      <c r="D27" s="96" t="s">
        <v>667</v>
      </c>
      <c r="E27" s="2"/>
      <c r="F27" s="2"/>
      <c r="G27" s="2"/>
      <c r="H27" s="2"/>
    </row>
    <row r="28" spans="1:8" ht="29.25" customHeight="1">
      <c r="A28" s="2"/>
      <c r="B28" s="14" t="s">
        <v>12</v>
      </c>
      <c r="C28" s="2"/>
      <c r="D28" s="95" t="s">
        <v>13</v>
      </c>
      <c r="E28" s="2"/>
      <c r="F28" s="2"/>
      <c r="G28" s="2"/>
      <c r="H28" s="2"/>
    </row>
    <row r="29" spans="1:8" ht="15" customHeight="1">
      <c r="A29" s="2"/>
      <c r="B29" s="14" t="s">
        <v>14</v>
      </c>
      <c r="C29" s="2"/>
      <c r="D29" s="95" t="s">
        <v>15</v>
      </c>
      <c r="E29" s="2"/>
      <c r="F29" s="2"/>
      <c r="G29" s="2"/>
      <c r="H29" s="2"/>
    </row>
    <row r="30" spans="1:8" ht="23.25" customHeight="1">
      <c r="A30" s="2"/>
      <c r="B30" s="14" t="s">
        <v>16</v>
      </c>
      <c r="C30" s="2"/>
      <c r="D30" s="95" t="s">
        <v>17</v>
      </c>
      <c r="E30" s="2"/>
      <c r="F30" s="2"/>
      <c r="G30" s="2"/>
      <c r="H30" s="2"/>
    </row>
    <row r="31" spans="1:8" ht="15" customHeight="1">
      <c r="A31" s="2"/>
      <c r="B31" s="2"/>
      <c r="C31" s="2"/>
      <c r="D31" s="2"/>
      <c r="E31" s="2"/>
      <c r="F31" s="2"/>
      <c r="G31" s="2"/>
      <c r="H31" s="2"/>
    </row>
    <row r="32" spans="1:8" ht="21.75" customHeight="1">
      <c r="A32" s="2"/>
      <c r="B32" s="120" t="s">
        <v>664</v>
      </c>
      <c r="C32" s="120"/>
      <c r="D32" s="120"/>
      <c r="E32" s="2"/>
      <c r="F32" s="2"/>
      <c r="G32" s="2"/>
      <c r="H32" s="2"/>
    </row>
    <row r="33" spans="1:8" ht="21.75" customHeight="1">
      <c r="A33" s="2"/>
      <c r="B33" s="123" t="s">
        <v>661</v>
      </c>
      <c r="C33" s="123"/>
      <c r="D33" s="123"/>
      <c r="E33" s="2"/>
      <c r="F33" s="2"/>
      <c r="G33" s="2"/>
      <c r="H33" s="2"/>
    </row>
    <row r="34" spans="1:8" ht="32.4" customHeight="1">
      <c r="A34" s="2"/>
      <c r="B34" s="123"/>
      <c r="C34" s="123"/>
      <c r="D34" s="123"/>
      <c r="E34" s="2"/>
      <c r="F34" s="2"/>
      <c r="G34" s="2"/>
      <c r="H34" s="2"/>
    </row>
    <row r="35" spans="1:8" ht="15" customHeight="1">
      <c r="A35" s="2"/>
      <c r="B35" s="2"/>
      <c r="C35" s="2"/>
      <c r="D35" s="2"/>
      <c r="E35" s="2"/>
      <c r="F35" s="2"/>
      <c r="G35" s="2"/>
      <c r="H35" s="2"/>
    </row>
    <row r="36" spans="1:8" ht="21.75" customHeight="1">
      <c r="A36" s="2"/>
      <c r="B36" s="120" t="s">
        <v>18</v>
      </c>
      <c r="C36" s="120"/>
      <c r="D36" s="120"/>
      <c r="E36" s="2"/>
      <c r="F36" s="2"/>
      <c r="G36" s="2"/>
      <c r="H36" s="2"/>
    </row>
    <row r="37" spans="1:8" ht="15" customHeight="1">
      <c r="A37" s="2"/>
      <c r="B37" s="19" t="s">
        <v>658</v>
      </c>
      <c r="C37" s="2"/>
      <c r="D37" s="90"/>
      <c r="E37" s="15" t="s">
        <v>19</v>
      </c>
      <c r="F37" s="15" t="s">
        <v>20</v>
      </c>
      <c r="G37" s="16" t="s">
        <v>21</v>
      </c>
      <c r="H37" s="17" t="s">
        <v>22</v>
      </c>
    </row>
    <row r="38" spans="1:8" ht="15" customHeight="1">
      <c r="A38" s="2"/>
      <c r="B38" s="19" t="s">
        <v>23</v>
      </c>
      <c r="C38" s="2"/>
      <c r="D38" s="90"/>
      <c r="E38" s="15" t="s">
        <v>24</v>
      </c>
      <c r="F38" s="16" t="s">
        <v>25</v>
      </c>
      <c r="G38" s="18" t="s">
        <v>26</v>
      </c>
      <c r="H38" s="2"/>
    </row>
    <row r="39" spans="1:8" ht="14.4" customHeight="1">
      <c r="A39" s="2"/>
      <c r="B39" s="3" t="s">
        <v>27</v>
      </c>
      <c r="C39" s="2"/>
      <c r="D39" s="2"/>
      <c r="E39" s="2"/>
      <c r="F39" s="2"/>
      <c r="G39" s="2"/>
      <c r="H39" s="2"/>
    </row>
    <row r="40" spans="1:8" ht="15" customHeight="1"/>
    <row r="41" spans="1:8" ht="24" customHeight="1">
      <c r="B41" s="120" t="s">
        <v>28</v>
      </c>
      <c r="C41" s="120"/>
      <c r="D41" s="120"/>
    </row>
    <row r="42" spans="1:8" ht="15" customHeight="1"/>
    <row r="43" spans="1:8" ht="15" customHeight="1">
      <c r="B43" s="3" t="s">
        <v>660</v>
      </c>
      <c r="D43" s="89" t="s">
        <v>29</v>
      </c>
    </row>
    <row r="44" spans="1:8" ht="15" customHeight="1"/>
    <row r="45" spans="1:8" ht="15" customHeight="1"/>
    <row r="130" spans="15:15">
      <c r="O130">
        <v>41.650674000000002</v>
      </c>
    </row>
    <row r="160" spans="15:16">
      <c r="O160">
        <v>41.650742999999999</v>
      </c>
      <c r="P160">
        <v>-4.7081650000000002</v>
      </c>
    </row>
  </sheetData>
  <mergeCells count="9">
    <mergeCell ref="B41:D41"/>
    <mergeCell ref="B9:D9"/>
    <mergeCell ref="B10:D14"/>
    <mergeCell ref="B25:D26"/>
    <mergeCell ref="B33:D34"/>
    <mergeCell ref="B36:D36"/>
    <mergeCell ref="B16:D16"/>
    <mergeCell ref="B24:D24"/>
    <mergeCell ref="B32:D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DE9A"/>
  </sheetPr>
  <dimension ref="A1:P29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" sqref="Q1"/>
    </sheetView>
  </sheetViews>
  <sheetFormatPr baseColWidth="10" defaultColWidth="8.6640625" defaultRowHeight="14.4"/>
  <cols>
    <col min="1" max="1" width="4" customWidth="1"/>
    <col min="2" max="2" width="24" customWidth="1"/>
    <col min="3" max="3" width="20" customWidth="1"/>
    <col min="4" max="5" width="11" customWidth="1"/>
    <col min="6" max="6" width="6" customWidth="1"/>
    <col min="7" max="9" width="9" customWidth="1"/>
    <col min="10" max="10" width="7" customWidth="1"/>
    <col min="11" max="11" width="8" customWidth="1"/>
    <col min="12" max="14" width="9" customWidth="1"/>
    <col min="15" max="16" width="11" customWidth="1"/>
  </cols>
  <sheetData>
    <row r="1" spans="1:16" ht="25.5" customHeight="1">
      <c r="A1" s="124" t="s">
        <v>30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ht="15" customHeight="1">
      <c r="B2" s="125" t="s">
        <v>31</v>
      </c>
      <c r="C2" s="125"/>
      <c r="D2" s="125"/>
      <c r="E2" s="125"/>
      <c r="F2" s="125"/>
      <c r="G2" s="125"/>
      <c r="H2" s="125"/>
      <c r="I2" s="125"/>
      <c r="J2" s="125"/>
    </row>
    <row r="3" spans="1:16" ht="30" customHeight="1">
      <c r="A3" s="20" t="s">
        <v>32</v>
      </c>
      <c r="B3" s="20" t="s">
        <v>33</v>
      </c>
      <c r="C3" s="20" t="s">
        <v>34</v>
      </c>
      <c r="D3" s="20" t="s">
        <v>35</v>
      </c>
      <c r="E3" s="20" t="s">
        <v>36</v>
      </c>
      <c r="F3" s="20" t="s">
        <v>37</v>
      </c>
      <c r="G3" s="20" t="s">
        <v>38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43</v>
      </c>
      <c r="M3" s="20" t="s">
        <v>44</v>
      </c>
      <c r="N3" s="20" t="s">
        <v>45</v>
      </c>
      <c r="O3" s="20" t="s">
        <v>46</v>
      </c>
      <c r="P3" s="20" t="s">
        <v>47</v>
      </c>
    </row>
    <row r="4" spans="1:16" ht="15" customHeight="1">
      <c r="A4" s="21">
        <f>IF($B4="","",COUNTA($B$4:B4))</f>
        <v>1</v>
      </c>
      <c r="B4" s="22" t="s">
        <v>48</v>
      </c>
      <c r="C4" s="21" t="s">
        <v>49</v>
      </c>
      <c r="D4" s="21" t="s">
        <v>50</v>
      </c>
      <c r="E4" s="23" t="s">
        <v>51</v>
      </c>
      <c r="F4" s="21" t="s">
        <v>19</v>
      </c>
      <c r="G4" s="24">
        <v>713</v>
      </c>
      <c r="H4" s="24">
        <v>151</v>
      </c>
      <c r="I4" s="24">
        <v>368.8</v>
      </c>
      <c r="J4" s="24">
        <v>1958</v>
      </c>
      <c r="K4" s="24">
        <v>5</v>
      </c>
      <c r="L4" s="25">
        <v>330.5</v>
      </c>
      <c r="M4" s="25">
        <f>IF(OR($K4="",$L4=""),"",ROUND('⚙️ SUPUESTOS'!$C$14*'⚙️ SUPUESTOS'!$C$18*SQRT($L4)*$K4,0))</f>
        <v>1227</v>
      </c>
      <c r="N4" s="25">
        <v>1373</v>
      </c>
      <c r="O4" s="26">
        <v>41.649797</v>
      </c>
      <c r="P4" s="26">
        <v>-4.7108819999999998</v>
      </c>
    </row>
    <row r="5" spans="1:16" ht="15" customHeight="1">
      <c r="A5" s="27">
        <f>IF($B5="","",COUNTA($B$4:B5))</f>
        <v>2</v>
      </c>
      <c r="B5" s="28" t="s">
        <v>52</v>
      </c>
      <c r="C5" s="27" t="s">
        <v>53</v>
      </c>
      <c r="D5" s="27" t="s">
        <v>50</v>
      </c>
      <c r="E5" s="29" t="s">
        <v>51</v>
      </c>
      <c r="F5" s="27" t="s">
        <v>19</v>
      </c>
      <c r="G5" s="30">
        <v>630</v>
      </c>
      <c r="H5" s="30">
        <v>107</v>
      </c>
      <c r="I5" s="30">
        <v>178.9</v>
      </c>
      <c r="J5" s="30">
        <v>1965</v>
      </c>
      <c r="K5" s="30">
        <v>3</v>
      </c>
      <c r="L5" s="31">
        <v>96.2</v>
      </c>
      <c r="M5" s="31">
        <f>IF(OR($K5="",$L5=""),"",ROUND('⚙️ SUPUESTOS'!$C$14*'⚙️ SUPUESTOS'!$C$18*SQRT($L5)*$K5,0))</f>
        <v>397</v>
      </c>
      <c r="N5" s="31">
        <v>1477</v>
      </c>
      <c r="O5" s="32">
        <v>41.649430000000002</v>
      </c>
      <c r="P5" s="32">
        <v>-4.7105600000000001</v>
      </c>
    </row>
    <row r="6" spans="1:16" ht="15" customHeight="1">
      <c r="A6" s="21">
        <f>IF($B6="","",COUNTA($B$4:B6))</f>
        <v>3</v>
      </c>
      <c r="B6" s="22" t="s">
        <v>54</v>
      </c>
      <c r="C6" s="21" t="s">
        <v>49</v>
      </c>
      <c r="D6" s="21" t="s">
        <v>50</v>
      </c>
      <c r="E6" s="23" t="s">
        <v>51</v>
      </c>
      <c r="F6" s="21" t="s">
        <v>19</v>
      </c>
      <c r="G6" s="24">
        <v>528</v>
      </c>
      <c r="H6" s="24">
        <v>90</v>
      </c>
      <c r="I6" s="24">
        <v>211</v>
      </c>
      <c r="J6" s="24">
        <v>1958</v>
      </c>
      <c r="K6" s="24">
        <v>5</v>
      </c>
      <c r="L6" s="25">
        <v>330.5</v>
      </c>
      <c r="M6" s="25">
        <f>IF(OR($K6="",$L6=""),"",ROUND('⚙️ SUPUESTOS'!$C$14*'⚙️ SUPUESTOS'!$C$18*SQRT($L6)*$K6,0))</f>
        <v>1227</v>
      </c>
      <c r="N6" s="25">
        <v>1373</v>
      </c>
      <c r="O6" s="26">
        <v>41.649496999999997</v>
      </c>
      <c r="P6" s="26">
        <v>-4.7110890000000003</v>
      </c>
    </row>
    <row r="7" spans="1:16" ht="15" customHeight="1">
      <c r="A7" s="27">
        <f>IF($B7="","",COUNTA($B$4:B7))</f>
        <v>4</v>
      </c>
      <c r="B7" s="28" t="s">
        <v>55</v>
      </c>
      <c r="C7" s="27" t="s">
        <v>56</v>
      </c>
      <c r="D7" s="27" t="s">
        <v>57</v>
      </c>
      <c r="E7" s="29" t="s">
        <v>51</v>
      </c>
      <c r="F7" s="27" t="s">
        <v>19</v>
      </c>
      <c r="G7" s="30">
        <v>646</v>
      </c>
      <c r="H7" s="30">
        <v>110</v>
      </c>
      <c r="I7" s="30">
        <v>218.2</v>
      </c>
      <c r="J7" s="30">
        <v>1965</v>
      </c>
      <c r="K7" s="30">
        <v>3</v>
      </c>
      <c r="L7" s="31">
        <v>102.1</v>
      </c>
      <c r="M7" s="31">
        <f>IF(OR($K7="",$L7=""),"",ROUND('⚙️ SUPUESTOS'!$C$14*'⚙️ SUPUESTOS'!$C$18*SQRT($L7)*$K7,0))</f>
        <v>409</v>
      </c>
      <c r="N7" s="31">
        <v>1380</v>
      </c>
      <c r="O7" s="32">
        <v>41.649859999999997</v>
      </c>
      <c r="P7" s="32">
        <v>-4.7084200000000003</v>
      </c>
    </row>
    <row r="8" spans="1:16" ht="15" customHeight="1">
      <c r="A8" s="21">
        <f>IF($B8="","",COUNTA($B$4:B8))</f>
        <v>5</v>
      </c>
      <c r="B8" s="22" t="s">
        <v>58</v>
      </c>
      <c r="C8" s="21" t="s">
        <v>59</v>
      </c>
      <c r="D8" s="21" t="s">
        <v>57</v>
      </c>
      <c r="E8" s="23" t="s">
        <v>51</v>
      </c>
      <c r="F8" s="21" t="s">
        <v>19</v>
      </c>
      <c r="G8" s="24">
        <v>634</v>
      </c>
      <c r="H8" s="24">
        <v>134</v>
      </c>
      <c r="I8" s="24">
        <v>334.2</v>
      </c>
      <c r="J8" s="24">
        <v>1936</v>
      </c>
      <c r="K8" s="24">
        <v>1</v>
      </c>
      <c r="L8" s="25">
        <v>53.6</v>
      </c>
      <c r="M8" s="25">
        <f>IF(OR($K8="",$L8=""),"",ROUND('⚙️ SUPUESTOS'!$C$14*'⚙️ SUPUESTOS'!$C$18*SQRT($L8)*$K8,0))</f>
        <v>99</v>
      </c>
      <c r="N8" s="25">
        <v>1515</v>
      </c>
      <c r="O8" s="26">
        <v>41.650120000000001</v>
      </c>
      <c r="P8" s="26">
        <v>-4.7096299999999998</v>
      </c>
    </row>
    <row r="9" spans="1:16" ht="15" customHeight="1">
      <c r="A9" s="27">
        <f>IF($B9="","",COUNTA($B$4:B9))</f>
        <v>6</v>
      </c>
      <c r="B9" s="28" t="s">
        <v>60</v>
      </c>
      <c r="C9" s="27" t="s">
        <v>61</v>
      </c>
      <c r="D9" s="27" t="s">
        <v>57</v>
      </c>
      <c r="E9" s="29" t="s">
        <v>51</v>
      </c>
      <c r="F9" s="27" t="s">
        <v>19</v>
      </c>
      <c r="G9" s="30">
        <v>632</v>
      </c>
      <c r="H9" s="30">
        <v>134</v>
      </c>
      <c r="I9" s="30">
        <v>251.9</v>
      </c>
      <c r="J9" s="30">
        <v>1965</v>
      </c>
      <c r="K9" s="30">
        <v>3</v>
      </c>
      <c r="L9" s="31">
        <v>101.6</v>
      </c>
      <c r="M9" s="31">
        <f>IF(OR($K9="",$L9=""),"",ROUND('⚙️ SUPUESTOS'!$C$14*'⚙️ SUPUESTOS'!$C$18*SQRT($L9)*$K9,0))</f>
        <v>408</v>
      </c>
      <c r="N9" s="31">
        <v>1366</v>
      </c>
      <c r="O9" s="32">
        <v>41.649749999999997</v>
      </c>
      <c r="P9" s="32">
        <v>-4.70784</v>
      </c>
    </row>
    <row r="10" spans="1:16" ht="15" customHeight="1">
      <c r="A10" s="21">
        <f>IF($B10="","",COUNTA($B$4:B10))</f>
        <v>7</v>
      </c>
      <c r="B10" s="22" t="s">
        <v>62</v>
      </c>
      <c r="C10" s="21" t="s">
        <v>63</v>
      </c>
      <c r="D10" s="21" t="s">
        <v>50</v>
      </c>
      <c r="E10" s="23" t="s">
        <v>51</v>
      </c>
      <c r="F10" s="21" t="s">
        <v>19</v>
      </c>
      <c r="G10" s="24">
        <v>464</v>
      </c>
      <c r="H10" s="24">
        <v>118</v>
      </c>
      <c r="I10" s="24">
        <v>180.2</v>
      </c>
      <c r="J10" s="24">
        <v>1965</v>
      </c>
      <c r="K10" s="24">
        <v>3</v>
      </c>
      <c r="L10" s="25">
        <v>95.1</v>
      </c>
      <c r="M10" s="25">
        <f>IF(OR($K10="",$L10=""),"",ROUND('⚙️ SUPUESTOS'!$C$14*'⚙️ SUPUESTOS'!$C$18*SQRT($L10)*$K10,0))</f>
        <v>395</v>
      </c>
      <c r="N10" s="25">
        <v>1467</v>
      </c>
      <c r="O10" s="26">
        <v>41.64922</v>
      </c>
      <c r="P10" s="26">
        <v>-4.7107299999999999</v>
      </c>
    </row>
    <row r="11" spans="1:16" ht="15" customHeight="1">
      <c r="A11" s="27">
        <f>IF($B11="","",COUNTA($B$4:B11))</f>
        <v>8</v>
      </c>
      <c r="B11" s="28" t="s">
        <v>64</v>
      </c>
      <c r="C11" s="27" t="s">
        <v>65</v>
      </c>
      <c r="D11" s="27" t="s">
        <v>66</v>
      </c>
      <c r="E11" s="29" t="s">
        <v>51</v>
      </c>
      <c r="F11" s="27" t="s">
        <v>19</v>
      </c>
      <c r="G11" s="30">
        <v>724</v>
      </c>
      <c r="H11" s="30">
        <v>148</v>
      </c>
      <c r="I11" s="30">
        <v>374.5</v>
      </c>
      <c r="J11" s="30">
        <v>1965</v>
      </c>
      <c r="K11" s="30">
        <v>3</v>
      </c>
      <c r="L11" s="31">
        <v>97.4</v>
      </c>
      <c r="M11" s="31">
        <f>IF(OR($K11="",$L11=""),"",ROUND('⚙️ SUPUESTOS'!$C$14*'⚙️ SUPUESTOS'!$C$18*SQRT($L11)*$K11,0))</f>
        <v>400</v>
      </c>
      <c r="N11" s="31">
        <v>1394</v>
      </c>
      <c r="O11" s="32">
        <v>41.649340000000002</v>
      </c>
      <c r="P11" s="32">
        <v>-4.7075699999999996</v>
      </c>
    </row>
    <row r="12" spans="1:16" ht="15" customHeight="1">
      <c r="A12" s="21">
        <f>IF($B12="","",COUNTA($B$4:B12))</f>
        <v>9</v>
      </c>
      <c r="B12" s="22" t="s">
        <v>67</v>
      </c>
      <c r="C12" s="21" t="s">
        <v>68</v>
      </c>
      <c r="D12" s="21" t="s">
        <v>50</v>
      </c>
      <c r="E12" s="23" t="s">
        <v>51</v>
      </c>
      <c r="F12" s="21" t="s">
        <v>19</v>
      </c>
      <c r="G12" s="24">
        <v>461</v>
      </c>
      <c r="H12" s="24">
        <v>79</v>
      </c>
      <c r="I12" s="24">
        <v>155.4</v>
      </c>
      <c r="J12" s="24">
        <v>1965</v>
      </c>
      <c r="K12" s="24">
        <v>3</v>
      </c>
      <c r="L12" s="25">
        <v>110.7</v>
      </c>
      <c r="M12" s="25">
        <f>IF(OR($K12="",$L12=""),"",ROUND('⚙️ SUPUESTOS'!$C$14*'⚙️ SUPUESTOS'!$C$18*SQRT($L12)*$K12,0))</f>
        <v>426</v>
      </c>
      <c r="N12" s="25">
        <v>1517</v>
      </c>
      <c r="O12" s="26">
        <v>41.648890000000002</v>
      </c>
      <c r="P12" s="26">
        <v>-4.70906</v>
      </c>
    </row>
    <row r="13" spans="1:16" ht="15" customHeight="1">
      <c r="A13" s="27">
        <f>IF($B13="","",COUNTA($B$4:B13))</f>
        <v>10</v>
      </c>
      <c r="B13" s="28" t="s">
        <v>69</v>
      </c>
      <c r="C13" s="27" t="s">
        <v>70</v>
      </c>
      <c r="D13" s="27" t="s">
        <v>50</v>
      </c>
      <c r="E13" s="29" t="s">
        <v>51</v>
      </c>
      <c r="F13" s="27" t="s">
        <v>19</v>
      </c>
      <c r="G13" s="30">
        <v>454</v>
      </c>
      <c r="H13" s="30">
        <v>96</v>
      </c>
      <c r="I13" s="30">
        <v>173.2</v>
      </c>
      <c r="J13" s="30">
        <v>1965</v>
      </c>
      <c r="K13" s="30">
        <v>3</v>
      </c>
      <c r="L13" s="31">
        <v>95.5</v>
      </c>
      <c r="M13" s="31">
        <f>IF(OR($K13="",$L13=""),"",ROUND('⚙️ SUPUESTOS'!$C$14*'⚙️ SUPUESTOS'!$C$18*SQRT($L13)*$K13,0))</f>
        <v>396</v>
      </c>
      <c r="N13" s="31">
        <v>1431</v>
      </c>
      <c r="O13" s="32">
        <v>41.648870000000002</v>
      </c>
      <c r="P13" s="32">
        <v>-4.7104699999999999</v>
      </c>
    </row>
    <row r="14" spans="1:16" ht="15" customHeight="1">
      <c r="A14" s="21">
        <f>IF($B14="","",COUNTA($B$4:B14))</f>
        <v>11</v>
      </c>
      <c r="B14" s="22" t="s">
        <v>71</v>
      </c>
      <c r="C14" s="21" t="s">
        <v>72</v>
      </c>
      <c r="D14" s="21" t="s">
        <v>57</v>
      </c>
      <c r="E14" s="23" t="s">
        <v>51</v>
      </c>
      <c r="F14" s="21" t="s">
        <v>19</v>
      </c>
      <c r="G14" s="24">
        <v>589</v>
      </c>
      <c r="H14" s="24">
        <v>100</v>
      </c>
      <c r="I14" s="24">
        <v>242.3</v>
      </c>
      <c r="J14" s="24">
        <v>1965</v>
      </c>
      <c r="K14" s="24">
        <v>3</v>
      </c>
      <c r="L14" s="25">
        <v>100.8</v>
      </c>
      <c r="M14" s="25">
        <f>IF(OR($K14="",$L14=""),"",ROUND('⚙️ SUPUESTOS'!$C$14*'⚙️ SUPUESTOS'!$C$18*SQRT($L14)*$K14,0))</f>
        <v>407</v>
      </c>
      <c r="N14" s="25">
        <v>1399</v>
      </c>
      <c r="O14" s="26">
        <v>41.649560000000001</v>
      </c>
      <c r="P14" s="26">
        <v>-4.7081799999999996</v>
      </c>
    </row>
    <row r="15" spans="1:16" ht="15" customHeight="1">
      <c r="A15" s="27">
        <f>IF($B15="","",COUNTA($B$4:B15))</f>
        <v>12</v>
      </c>
      <c r="B15" s="28" t="s">
        <v>73</v>
      </c>
      <c r="C15" s="27" t="s">
        <v>74</v>
      </c>
      <c r="D15" s="27" t="s">
        <v>50</v>
      </c>
      <c r="E15" s="29" t="s">
        <v>51</v>
      </c>
      <c r="F15" s="27" t="s">
        <v>19</v>
      </c>
      <c r="G15" s="30">
        <v>442</v>
      </c>
      <c r="H15" s="30">
        <v>93</v>
      </c>
      <c r="I15" s="30">
        <v>200</v>
      </c>
      <c r="J15" s="30">
        <v>1965</v>
      </c>
      <c r="K15" s="30">
        <v>3</v>
      </c>
      <c r="L15" s="31">
        <v>113.4</v>
      </c>
      <c r="M15" s="31">
        <f>IF(OR($K15="",$L15=""),"",ROUND('⚙️ SUPUESTOS'!$C$14*'⚙️ SUPUESTOS'!$C$18*SQRT($L15)*$K15,0))</f>
        <v>431</v>
      </c>
      <c r="N15" s="31">
        <v>1421</v>
      </c>
      <c r="O15" s="32">
        <v>41.648960000000002</v>
      </c>
      <c r="P15" s="32">
        <v>-4.7086399999999999</v>
      </c>
    </row>
    <row r="16" spans="1:16" ht="15" customHeight="1">
      <c r="A16" s="21">
        <f>IF($B16="","",COUNTA($B$4:B16))</f>
        <v>13</v>
      </c>
      <c r="B16" s="22" t="s">
        <v>75</v>
      </c>
      <c r="C16" s="21" t="s">
        <v>76</v>
      </c>
      <c r="D16" s="21" t="s">
        <v>50</v>
      </c>
      <c r="E16" s="23" t="s">
        <v>51</v>
      </c>
      <c r="F16" s="21" t="s">
        <v>19</v>
      </c>
      <c r="G16" s="24">
        <v>442</v>
      </c>
      <c r="H16" s="24">
        <v>88</v>
      </c>
      <c r="I16" s="24">
        <v>223.4</v>
      </c>
      <c r="J16" s="24">
        <v>1965</v>
      </c>
      <c r="K16" s="24">
        <v>3</v>
      </c>
      <c r="L16" s="25">
        <v>104.6</v>
      </c>
      <c r="M16" s="25">
        <f>IF(OR($K16="",$L16=""),"",ROUND('⚙️ SUPUESTOS'!$C$14*'⚙️ SUPUESTOS'!$C$18*SQRT($L16)*$K16,0))</f>
        <v>414</v>
      </c>
      <c r="N16" s="25">
        <v>1328</v>
      </c>
      <c r="O16" s="26">
        <v>41.648758999999998</v>
      </c>
      <c r="P16" s="26">
        <v>-4.7096809999999998</v>
      </c>
    </row>
    <row r="17" spans="1:16" ht="15" customHeight="1">
      <c r="A17" s="27">
        <f>IF($B17="","",COUNTA($B$4:B17))</f>
        <v>14</v>
      </c>
      <c r="B17" s="28" t="s">
        <v>77</v>
      </c>
      <c r="C17" s="27" t="s">
        <v>78</v>
      </c>
      <c r="D17" s="27" t="s">
        <v>50</v>
      </c>
      <c r="E17" s="29" t="s">
        <v>51</v>
      </c>
      <c r="F17" s="27" t="s">
        <v>21</v>
      </c>
      <c r="G17" s="30">
        <v>442</v>
      </c>
      <c r="H17" s="30">
        <v>92.5</v>
      </c>
      <c r="I17" s="30">
        <v>203.3</v>
      </c>
      <c r="J17" s="30">
        <v>1965</v>
      </c>
      <c r="K17" s="30">
        <v>3</v>
      </c>
      <c r="L17" s="31">
        <v>98.1</v>
      </c>
      <c r="M17" s="31">
        <f>IF(OR($K17="",$L17=""),"",ROUND('⚙️ SUPUESTOS'!$C$14*'⚙️ SUPUESTOS'!$C$18*SQRT($L17)*$K17,0))</f>
        <v>401</v>
      </c>
      <c r="N17" s="31">
        <v>1396</v>
      </c>
      <c r="O17" s="32">
        <v>41.648580000000003</v>
      </c>
      <c r="P17" s="32">
        <v>-4.7094800000000001</v>
      </c>
    </row>
    <row r="18" spans="1:16" ht="15" customHeight="1">
      <c r="A18" s="21">
        <f>IF($B18="","",COUNTA($B$4:B18))</f>
        <v>15</v>
      </c>
      <c r="B18" s="22" t="s">
        <v>79</v>
      </c>
      <c r="C18" s="21" t="s">
        <v>80</v>
      </c>
      <c r="D18" s="21" t="s">
        <v>50</v>
      </c>
      <c r="E18" s="23" t="s">
        <v>51</v>
      </c>
      <c r="F18" s="21" t="s">
        <v>19</v>
      </c>
      <c r="G18" s="24">
        <v>434</v>
      </c>
      <c r="H18" s="24">
        <v>73</v>
      </c>
      <c r="I18" s="24">
        <v>135.80000000000001</v>
      </c>
      <c r="J18" s="24">
        <v>1965</v>
      </c>
      <c r="K18" s="24">
        <v>3</v>
      </c>
      <c r="L18" s="25">
        <v>95.3</v>
      </c>
      <c r="M18" s="25">
        <f>IF(OR($K18="",$L18=""),"",ROUND('⚙️ SUPUESTOS'!$C$14*'⚙️ SUPUESTOS'!$C$18*SQRT($L18)*$K18,0))</f>
        <v>395</v>
      </c>
      <c r="N18" s="25">
        <v>1483</v>
      </c>
      <c r="O18" s="26">
        <v>41.649320000000003</v>
      </c>
      <c r="P18" s="26">
        <v>-4.7106500000000002</v>
      </c>
    </row>
    <row r="19" spans="1:16" ht="15" customHeight="1">
      <c r="A19" s="27">
        <f>IF($B19="","",COUNTA($B$4:B19))</f>
        <v>16</v>
      </c>
      <c r="B19" s="28" t="s">
        <v>81</v>
      </c>
      <c r="C19" s="27" t="s">
        <v>82</v>
      </c>
      <c r="D19" s="27" t="s">
        <v>50</v>
      </c>
      <c r="E19" s="29" t="s">
        <v>51</v>
      </c>
      <c r="F19" s="27" t="s">
        <v>19</v>
      </c>
      <c r="G19" s="30">
        <v>429</v>
      </c>
      <c r="H19" s="30">
        <v>87</v>
      </c>
      <c r="I19" s="30">
        <v>201.4</v>
      </c>
      <c r="J19" s="30">
        <v>1965</v>
      </c>
      <c r="K19" s="30">
        <v>3</v>
      </c>
      <c r="L19" s="31">
        <v>102.9</v>
      </c>
      <c r="M19" s="31">
        <f>IF(OR($K19="",$L19=""),"",ROUND('⚙️ SUPUESTOS'!$C$14*'⚙️ SUPUESTOS'!$C$18*SQRT($L19)*$K19,0))</f>
        <v>411</v>
      </c>
      <c r="N19" s="31">
        <v>1525</v>
      </c>
      <c r="O19" s="32">
        <v>41.648829999999997</v>
      </c>
      <c r="P19" s="32">
        <v>-4.7100799999999996</v>
      </c>
    </row>
    <row r="20" spans="1:16" ht="15" customHeight="1">
      <c r="A20" s="21">
        <f>IF($B20="","",COUNTA($B$4:B20))</f>
        <v>17</v>
      </c>
      <c r="B20" s="22" t="s">
        <v>83</v>
      </c>
      <c r="C20" s="21" t="s">
        <v>84</v>
      </c>
      <c r="D20" s="21" t="s">
        <v>57</v>
      </c>
      <c r="E20" s="23" t="s">
        <v>51</v>
      </c>
      <c r="F20" s="21" t="s">
        <v>19</v>
      </c>
      <c r="G20" s="24">
        <v>569</v>
      </c>
      <c r="H20" s="24">
        <v>113</v>
      </c>
      <c r="I20" s="24">
        <v>251.8</v>
      </c>
      <c r="J20" s="24">
        <v>1965</v>
      </c>
      <c r="K20" s="24">
        <v>3</v>
      </c>
      <c r="L20" s="25">
        <v>100.5</v>
      </c>
      <c r="M20" s="25">
        <f>IF(OR($K20="",$L20=""),"",ROUND('⚙️ SUPUESTOS'!$C$14*'⚙️ SUPUESTOS'!$C$18*SQRT($L20)*$K20,0))</f>
        <v>406</v>
      </c>
      <c r="N20" s="25">
        <v>1293</v>
      </c>
      <c r="O20" s="26">
        <v>41.6496</v>
      </c>
      <c r="P20" s="26">
        <v>-4.7084599999999996</v>
      </c>
    </row>
    <row r="21" spans="1:16" ht="15" customHeight="1">
      <c r="A21" s="27">
        <f>IF($B21="","",COUNTA($B$4:B21))</f>
        <v>18</v>
      </c>
      <c r="B21" s="28" t="s">
        <v>85</v>
      </c>
      <c r="C21" s="27" t="s">
        <v>86</v>
      </c>
      <c r="D21" s="27" t="s">
        <v>50</v>
      </c>
      <c r="E21" s="29" t="s">
        <v>51</v>
      </c>
      <c r="F21" s="27" t="s">
        <v>19</v>
      </c>
      <c r="G21" s="30">
        <v>419</v>
      </c>
      <c r="H21" s="30">
        <v>88.5</v>
      </c>
      <c r="I21" s="30">
        <v>232.2</v>
      </c>
      <c r="J21" s="30">
        <v>1965</v>
      </c>
      <c r="K21" s="30">
        <v>3</v>
      </c>
      <c r="L21" s="31">
        <v>100.2</v>
      </c>
      <c r="M21" s="31">
        <f>IF(OR($K21="",$L21=""),"",ROUND('⚙️ SUPUESTOS'!$C$14*'⚙️ SUPUESTOS'!$C$18*SQRT($L21)*$K21,0))</f>
        <v>405</v>
      </c>
      <c r="N21" s="31">
        <v>1440</v>
      </c>
      <c r="O21" s="32">
        <v>41.6492</v>
      </c>
      <c r="P21" s="32">
        <v>-4.7097800000000003</v>
      </c>
    </row>
    <row r="22" spans="1:16" ht="15" customHeight="1">
      <c r="A22" s="21">
        <f>IF($B22="","",COUNTA($B$4:B22))</f>
        <v>19</v>
      </c>
      <c r="B22" s="22" t="s">
        <v>87</v>
      </c>
      <c r="C22" s="21" t="s">
        <v>88</v>
      </c>
      <c r="D22" s="21" t="s">
        <v>50</v>
      </c>
      <c r="E22" s="23" t="s">
        <v>51</v>
      </c>
      <c r="F22" s="21" t="s">
        <v>19</v>
      </c>
      <c r="G22" s="24">
        <v>416</v>
      </c>
      <c r="H22" s="24">
        <v>70</v>
      </c>
      <c r="I22" s="24">
        <v>168.5</v>
      </c>
      <c r="J22" s="24">
        <v>1965</v>
      </c>
      <c r="K22" s="24">
        <v>3</v>
      </c>
      <c r="L22" s="25">
        <v>112.4</v>
      </c>
      <c r="M22" s="25">
        <f>IF(OR($K22="",$L22=""),"",ROUND('⚙️ SUPUESTOS'!$C$14*'⚙️ SUPUESTOS'!$C$18*SQRT($L22)*$K22,0))</f>
        <v>429</v>
      </c>
      <c r="N22" s="25">
        <v>1414</v>
      </c>
      <c r="O22" s="26">
        <v>41.649349999999998</v>
      </c>
      <c r="P22" s="26">
        <v>-4.7098899999999997</v>
      </c>
    </row>
    <row r="23" spans="1:16" ht="15" customHeight="1">
      <c r="A23" s="27">
        <f>IF($B23="","",COUNTA($B$4:B23))</f>
        <v>20</v>
      </c>
      <c r="B23" s="28" t="s">
        <v>89</v>
      </c>
      <c r="C23" s="27" t="s">
        <v>90</v>
      </c>
      <c r="D23" s="27" t="s">
        <v>50</v>
      </c>
      <c r="E23" s="29" t="s">
        <v>51</v>
      </c>
      <c r="F23" s="27" t="s">
        <v>19</v>
      </c>
      <c r="G23" s="30">
        <v>402</v>
      </c>
      <c r="H23" s="30">
        <v>83</v>
      </c>
      <c r="I23" s="30">
        <v>277.89999999999998</v>
      </c>
      <c r="J23" s="30">
        <v>1965</v>
      </c>
      <c r="K23" s="30">
        <v>3</v>
      </c>
      <c r="L23" s="31">
        <v>100.6</v>
      </c>
      <c r="M23" s="31">
        <f>IF(OR($K23="",$L23=""),"",ROUND('⚙️ SUPUESTOS'!$C$14*'⚙️ SUPUESTOS'!$C$18*SQRT($L23)*$K23,0))</f>
        <v>406</v>
      </c>
      <c r="N23" s="31">
        <v>1458</v>
      </c>
      <c r="O23" s="32">
        <v>41.649039999999999</v>
      </c>
      <c r="P23" s="32">
        <v>-4.7091700000000003</v>
      </c>
    </row>
    <row r="24" spans="1:16" ht="15" customHeight="1">
      <c r="A24" s="21">
        <f>IF($B24="","",COUNTA($B$4:B24))</f>
        <v>21</v>
      </c>
      <c r="B24" s="22" t="s">
        <v>91</v>
      </c>
      <c r="C24" s="21" t="s">
        <v>92</v>
      </c>
      <c r="D24" s="21" t="s">
        <v>50</v>
      </c>
      <c r="E24" s="23" t="s">
        <v>51</v>
      </c>
      <c r="F24" s="21" t="s">
        <v>19</v>
      </c>
      <c r="G24" s="24">
        <v>399</v>
      </c>
      <c r="H24" s="24">
        <v>84</v>
      </c>
      <c r="I24" s="24">
        <v>237.4</v>
      </c>
      <c r="J24" s="24">
        <v>1965</v>
      </c>
      <c r="K24" s="24">
        <v>3</v>
      </c>
      <c r="L24" s="25">
        <v>100.1</v>
      </c>
      <c r="M24" s="25">
        <f>IF(OR($K24="",$L24=""),"",ROUND('⚙️ SUPUESTOS'!$C$14*'⚙️ SUPUESTOS'!$C$18*SQRT($L24)*$K24,0))</f>
        <v>405</v>
      </c>
      <c r="N24" s="25">
        <v>1381</v>
      </c>
      <c r="O24" s="26">
        <v>41.648710000000001</v>
      </c>
      <c r="P24" s="26">
        <v>-4.7099599999999997</v>
      </c>
    </row>
    <row r="25" spans="1:16" ht="15" customHeight="1">
      <c r="A25" s="27">
        <f>IF($B25="","",COUNTA($B$4:B25))</f>
        <v>22</v>
      </c>
      <c r="B25" s="28" t="s">
        <v>93</v>
      </c>
      <c r="C25" s="27" t="s">
        <v>94</v>
      </c>
      <c r="D25" s="27" t="s">
        <v>57</v>
      </c>
      <c r="E25" s="29" t="s">
        <v>51</v>
      </c>
      <c r="F25" s="27" t="s">
        <v>19</v>
      </c>
      <c r="G25" s="30">
        <v>532</v>
      </c>
      <c r="H25" s="30">
        <v>138</v>
      </c>
      <c r="I25" s="30">
        <v>252.8</v>
      </c>
      <c r="J25" s="30">
        <v>1965</v>
      </c>
      <c r="K25" s="30">
        <v>3</v>
      </c>
      <c r="L25" s="31">
        <v>97.5</v>
      </c>
      <c r="M25" s="31">
        <f>IF(OR($K25="",$L25=""),"",ROUND('⚙️ SUPUESTOS'!$C$14*'⚙️ SUPUESTOS'!$C$18*SQRT($L25)*$K25,0))</f>
        <v>400</v>
      </c>
      <c r="N25" s="31">
        <v>1379</v>
      </c>
      <c r="O25" s="32">
        <v>41.649810000000002</v>
      </c>
      <c r="P25" s="32">
        <v>-4.7082600000000001</v>
      </c>
    </row>
    <row r="26" spans="1:16" ht="15" customHeight="1">
      <c r="A26" s="21">
        <f>IF($B26="","",COUNTA($B$4:B26))</f>
        <v>23</v>
      </c>
      <c r="B26" s="22" t="s">
        <v>95</v>
      </c>
      <c r="C26" s="21" t="s">
        <v>96</v>
      </c>
      <c r="D26" s="21" t="s">
        <v>50</v>
      </c>
      <c r="E26" s="23" t="s">
        <v>51</v>
      </c>
      <c r="F26" s="21" t="s">
        <v>19</v>
      </c>
      <c r="G26" s="24">
        <v>375</v>
      </c>
      <c r="H26" s="24">
        <v>67</v>
      </c>
      <c r="I26" s="24">
        <v>185.6</v>
      </c>
      <c r="J26" s="24">
        <v>1965</v>
      </c>
      <c r="K26" s="24">
        <v>3</v>
      </c>
      <c r="L26" s="25">
        <v>100.2</v>
      </c>
      <c r="M26" s="25">
        <f>IF(OR($K26="",$L26=""),"",ROUND('⚙️ SUPUESTOS'!$C$14*'⚙️ SUPUESTOS'!$C$18*SQRT($L26)*$K26,0))</f>
        <v>405</v>
      </c>
      <c r="N26" s="25">
        <v>1315</v>
      </c>
      <c r="O26" s="26">
        <v>41.649140000000003</v>
      </c>
      <c r="P26" s="26">
        <v>-4.7095599999999997</v>
      </c>
    </row>
    <row r="27" spans="1:16" ht="15" customHeight="1">
      <c r="A27" s="27">
        <f>IF($B27="","",COUNTA($B$4:B27))</f>
        <v>24</v>
      </c>
      <c r="B27" s="28" t="s">
        <v>97</v>
      </c>
      <c r="C27" s="27" t="s">
        <v>98</v>
      </c>
      <c r="D27" s="27" t="s">
        <v>50</v>
      </c>
      <c r="E27" s="29" t="s">
        <v>51</v>
      </c>
      <c r="F27" s="27" t="s">
        <v>19</v>
      </c>
      <c r="G27" s="30">
        <v>368</v>
      </c>
      <c r="H27" s="30">
        <v>73</v>
      </c>
      <c r="I27" s="30">
        <v>201.2</v>
      </c>
      <c r="J27" s="30">
        <v>1965</v>
      </c>
      <c r="K27" s="30">
        <v>3</v>
      </c>
      <c r="L27" s="31">
        <v>102.6</v>
      </c>
      <c r="M27" s="31">
        <f>IF(OR($K27="",$L27=""),"",ROUND('⚙️ SUPUESTOS'!$C$14*'⚙️ SUPUESTOS'!$C$18*SQRT($L27)*$K27,0))</f>
        <v>410</v>
      </c>
      <c r="N27" s="31">
        <v>1312</v>
      </c>
      <c r="O27" s="32">
        <v>41.649320000000003</v>
      </c>
      <c r="P27" s="32">
        <v>-4.7096900000000002</v>
      </c>
    </row>
    <row r="28" spans="1:16" ht="15" customHeight="1">
      <c r="A28" s="21">
        <f>IF($B28="","",COUNTA($B$4:B28))</f>
        <v>25</v>
      </c>
      <c r="B28" s="22" t="s">
        <v>99</v>
      </c>
      <c r="C28" s="21" t="s">
        <v>100</v>
      </c>
      <c r="D28" s="21" t="s">
        <v>50</v>
      </c>
      <c r="E28" s="23" t="s">
        <v>51</v>
      </c>
      <c r="F28" s="21" t="s">
        <v>20</v>
      </c>
      <c r="G28" s="24">
        <v>368</v>
      </c>
      <c r="H28" s="24">
        <v>97</v>
      </c>
      <c r="I28" s="24">
        <v>218</v>
      </c>
      <c r="J28" s="24">
        <v>1965</v>
      </c>
      <c r="K28" s="24">
        <v>3</v>
      </c>
      <c r="L28" s="25">
        <v>94.7</v>
      </c>
      <c r="M28" s="25">
        <f>IF(OR($K28="",$L28=""),"",ROUND('⚙️ SUPUESTOS'!$C$14*'⚙️ SUPUESTOS'!$C$18*SQRT($L28)*$K28,0))</f>
        <v>394</v>
      </c>
      <c r="N28" s="25">
        <v>1484</v>
      </c>
      <c r="O28" s="26">
        <v>41.649120000000003</v>
      </c>
      <c r="P28" s="26">
        <v>-4.71082</v>
      </c>
    </row>
    <row r="29" spans="1:16" ht="15" customHeight="1">
      <c r="A29" s="27">
        <f>IF($B29="","",COUNTA($B$4:B29))</f>
        <v>26</v>
      </c>
      <c r="B29" s="28" t="s">
        <v>101</v>
      </c>
      <c r="C29" s="27" t="s">
        <v>102</v>
      </c>
      <c r="D29" s="27" t="s">
        <v>50</v>
      </c>
      <c r="E29" s="29" t="s">
        <v>51</v>
      </c>
      <c r="F29" s="27" t="s">
        <v>19</v>
      </c>
      <c r="G29" s="30">
        <v>367</v>
      </c>
      <c r="H29" s="30">
        <v>72</v>
      </c>
      <c r="I29" s="30">
        <v>188.1</v>
      </c>
      <c r="J29" s="30">
        <v>1965</v>
      </c>
      <c r="K29" s="30">
        <v>3</v>
      </c>
      <c r="L29" s="31">
        <v>114.7</v>
      </c>
      <c r="M29" s="31">
        <f>IF(OR($K29="",$L29=""),"",ROUND('⚙️ SUPUESTOS'!$C$14*'⚙️ SUPUESTOS'!$C$18*SQRT($L29)*$K29,0))</f>
        <v>434</v>
      </c>
      <c r="N29" s="31">
        <v>1383</v>
      </c>
      <c r="O29" s="32">
        <v>41.649270000000001</v>
      </c>
      <c r="P29" s="32">
        <v>-4.7094199999999997</v>
      </c>
    </row>
    <row r="30" spans="1:16" ht="15" customHeight="1">
      <c r="A30" s="21">
        <f>IF($B30="","",COUNTA($B$4:B30))</f>
        <v>27</v>
      </c>
      <c r="B30" s="22" t="s">
        <v>103</v>
      </c>
      <c r="C30" s="21" t="s">
        <v>49</v>
      </c>
      <c r="D30" s="21" t="s">
        <v>50</v>
      </c>
      <c r="E30" s="23" t="s">
        <v>51</v>
      </c>
      <c r="F30" s="21" t="s">
        <v>19</v>
      </c>
      <c r="G30" s="24">
        <v>346</v>
      </c>
      <c r="H30" s="24">
        <v>58.5</v>
      </c>
      <c r="I30" s="24">
        <v>140.19999999999999</v>
      </c>
      <c r="J30" s="24">
        <v>1958</v>
      </c>
      <c r="K30" s="24">
        <v>5</v>
      </c>
      <c r="L30" s="25">
        <v>330.5</v>
      </c>
      <c r="M30" s="25">
        <f>IF(OR($K30="",$L30=""),"",ROUND('⚙️ SUPUESTOS'!$C$14*'⚙️ SUPUESTOS'!$C$18*SQRT($L30)*$K30,0))</f>
        <v>1227</v>
      </c>
      <c r="N30" s="25">
        <v>1373</v>
      </c>
      <c r="O30" s="26">
        <v>41.649880000000003</v>
      </c>
      <c r="P30" s="26">
        <v>-4.7106899999999996</v>
      </c>
    </row>
    <row r="31" spans="1:16" ht="15" customHeight="1">
      <c r="A31" s="27">
        <f>IF($B31="","",COUNTA($B$4:B31))</f>
        <v>28</v>
      </c>
      <c r="B31" s="28" t="s">
        <v>104</v>
      </c>
      <c r="C31" s="27" t="s">
        <v>105</v>
      </c>
      <c r="D31" s="27" t="s">
        <v>50</v>
      </c>
      <c r="E31" s="29" t="s">
        <v>51</v>
      </c>
      <c r="F31" s="27" t="s">
        <v>19</v>
      </c>
      <c r="G31" s="30">
        <v>344</v>
      </c>
      <c r="H31" s="30">
        <v>66</v>
      </c>
      <c r="I31" s="30">
        <v>138.19999999999999</v>
      </c>
      <c r="J31" s="30">
        <v>1965</v>
      </c>
      <c r="K31" s="30">
        <v>3</v>
      </c>
      <c r="L31" s="31">
        <v>96.7</v>
      </c>
      <c r="M31" s="31">
        <f>IF(OR($K31="",$L31=""),"",ROUND('⚙️ SUPUESTOS'!$C$14*'⚙️ SUPUESTOS'!$C$18*SQRT($L31)*$K31,0))</f>
        <v>398</v>
      </c>
      <c r="N31" s="31">
        <v>1532</v>
      </c>
      <c r="O31" s="32">
        <v>41.648200000000003</v>
      </c>
      <c r="P31" s="32">
        <v>-4.7089999999999996</v>
      </c>
    </row>
    <row r="32" spans="1:16" ht="15" customHeight="1">
      <c r="A32" s="21">
        <f>IF($B32="","",COUNTA($B$4:B32))</f>
        <v>29</v>
      </c>
      <c r="B32" s="22" t="s">
        <v>106</v>
      </c>
      <c r="C32" s="21" t="s">
        <v>107</v>
      </c>
      <c r="D32" s="21" t="s">
        <v>50</v>
      </c>
      <c r="E32" s="23" t="s">
        <v>51</v>
      </c>
      <c r="F32" s="21" t="s">
        <v>19</v>
      </c>
      <c r="G32" s="24">
        <v>338</v>
      </c>
      <c r="H32" s="24">
        <v>71.5</v>
      </c>
      <c r="I32" s="24">
        <v>176</v>
      </c>
      <c r="J32" s="24">
        <v>1965</v>
      </c>
      <c r="K32" s="24">
        <v>3</v>
      </c>
      <c r="L32" s="25">
        <v>97.6</v>
      </c>
      <c r="M32" s="25">
        <f>IF(OR($K32="",$L32=""),"",ROUND('⚙️ SUPUESTOS'!$C$14*'⚙️ SUPUESTOS'!$C$18*SQRT($L32)*$K32,0))</f>
        <v>400</v>
      </c>
      <c r="N32" s="25">
        <v>1532</v>
      </c>
      <c r="O32" s="26">
        <v>41.648519999999998</v>
      </c>
      <c r="P32" s="26">
        <v>-4.7100299999999997</v>
      </c>
    </row>
    <row r="33" spans="1:16" ht="15" customHeight="1">
      <c r="A33" s="27">
        <f>IF($B33="","",COUNTA($B$4:B33))</f>
        <v>30</v>
      </c>
      <c r="B33" s="28" t="s">
        <v>108</v>
      </c>
      <c r="C33" s="27" t="s">
        <v>49</v>
      </c>
      <c r="D33" s="27" t="s">
        <v>50</v>
      </c>
      <c r="E33" s="29" t="s">
        <v>51</v>
      </c>
      <c r="F33" s="27" t="s">
        <v>19</v>
      </c>
      <c r="G33" s="30">
        <v>338</v>
      </c>
      <c r="H33" s="30">
        <v>68</v>
      </c>
      <c r="I33" s="30">
        <v>182.7</v>
      </c>
      <c r="J33" s="30">
        <v>1958</v>
      </c>
      <c r="K33" s="30">
        <v>5</v>
      </c>
      <c r="L33" s="31">
        <v>330.5</v>
      </c>
      <c r="M33" s="31">
        <f>IF(OR($K33="",$L33=""),"",ROUND('⚙️ SUPUESTOS'!$C$14*'⚙️ SUPUESTOS'!$C$18*SQRT($L33)*$K33,0))</f>
        <v>1227</v>
      </c>
      <c r="N33" s="31">
        <v>1373</v>
      </c>
      <c r="O33" s="32">
        <v>41.649799999999999</v>
      </c>
      <c r="P33" s="32">
        <v>-4.7105100000000002</v>
      </c>
    </row>
    <row r="34" spans="1:16" ht="15" customHeight="1">
      <c r="A34" s="21">
        <f>IF($B34="","",COUNTA($B$4:B34))</f>
        <v>31</v>
      </c>
      <c r="B34" s="22" t="s">
        <v>109</v>
      </c>
      <c r="C34" s="21" t="s">
        <v>110</v>
      </c>
      <c r="D34" s="21" t="s">
        <v>50</v>
      </c>
      <c r="E34" s="23" t="s">
        <v>51</v>
      </c>
      <c r="F34" s="21" t="s">
        <v>19</v>
      </c>
      <c r="G34" s="24">
        <v>335</v>
      </c>
      <c r="H34" s="24">
        <v>59.5</v>
      </c>
      <c r="I34" s="24">
        <v>125.3</v>
      </c>
      <c r="J34" s="24">
        <v>1965</v>
      </c>
      <c r="K34" s="24">
        <v>3</v>
      </c>
      <c r="L34" s="25">
        <v>98.7</v>
      </c>
      <c r="M34" s="25">
        <f>IF(OR($K34="",$L34=""),"",ROUND('⚙️ SUPUESTOS'!$C$14*'⚙️ SUPUESTOS'!$C$18*SQRT($L34)*$K34,0))</f>
        <v>402</v>
      </c>
      <c r="N34" s="25">
        <v>1515</v>
      </c>
      <c r="O34" s="26">
        <v>41.648310000000002</v>
      </c>
      <c r="P34" s="26">
        <v>-4.7089400000000001</v>
      </c>
    </row>
    <row r="35" spans="1:16" ht="15" customHeight="1">
      <c r="A35" s="27">
        <f>IF($B35="","",COUNTA($B$4:B35))</f>
        <v>32</v>
      </c>
      <c r="B35" s="28" t="s">
        <v>111</v>
      </c>
      <c r="C35" s="27" t="s">
        <v>112</v>
      </c>
      <c r="D35" s="27" t="s">
        <v>50</v>
      </c>
      <c r="E35" s="29" t="s">
        <v>51</v>
      </c>
      <c r="F35" s="27" t="s">
        <v>21</v>
      </c>
      <c r="G35" s="30">
        <v>330</v>
      </c>
      <c r="H35" s="30">
        <v>70</v>
      </c>
      <c r="I35" s="30">
        <v>167.3</v>
      </c>
      <c r="J35" s="30">
        <v>1965</v>
      </c>
      <c r="K35" s="30">
        <v>3</v>
      </c>
      <c r="L35" s="31">
        <v>115.6</v>
      </c>
      <c r="M35" s="31">
        <f>IF(OR($K35="",$L35=""),"",ROUND('⚙️ SUPUESTOS'!$C$14*'⚙️ SUPUESTOS'!$C$18*SQRT($L35)*$K35,0))</f>
        <v>435</v>
      </c>
      <c r="N35" s="31">
        <v>1395</v>
      </c>
      <c r="O35" s="32">
        <v>41.649540000000002</v>
      </c>
      <c r="P35" s="32">
        <v>-4.7099399999999996</v>
      </c>
    </row>
    <row r="36" spans="1:16" ht="15" customHeight="1">
      <c r="A36" s="21">
        <f>IF($B36="","",COUNTA($B$4:B36))</f>
        <v>33</v>
      </c>
      <c r="B36" s="22" t="s">
        <v>113</v>
      </c>
      <c r="C36" s="21" t="s">
        <v>114</v>
      </c>
      <c r="D36" s="21" t="s">
        <v>50</v>
      </c>
      <c r="E36" s="23" t="s">
        <v>51</v>
      </c>
      <c r="F36" s="21" t="s">
        <v>21</v>
      </c>
      <c r="G36" s="24">
        <v>328</v>
      </c>
      <c r="H36" s="24">
        <v>66.5</v>
      </c>
      <c r="I36" s="24">
        <v>186.2</v>
      </c>
      <c r="J36" s="24">
        <v>1965</v>
      </c>
      <c r="K36" s="24">
        <v>3</v>
      </c>
      <c r="L36" s="25">
        <v>97.8</v>
      </c>
      <c r="M36" s="25">
        <f>IF(OR($K36="",$L36=""),"",ROUND('⚙️ SUPUESTOS'!$C$14*'⚙️ SUPUESTOS'!$C$18*SQRT($L36)*$K36,0))</f>
        <v>401</v>
      </c>
      <c r="N36" s="25">
        <v>1446</v>
      </c>
      <c r="O36" s="26">
        <v>41.648690000000002</v>
      </c>
      <c r="P36" s="26">
        <v>-4.7104200000000001</v>
      </c>
    </row>
    <row r="37" spans="1:16" ht="15" customHeight="1">
      <c r="A37" s="27">
        <f>IF($B37="","",COUNTA($B$4:B37))</f>
        <v>34</v>
      </c>
      <c r="B37" s="28" t="s">
        <v>115</v>
      </c>
      <c r="C37" s="27" t="s">
        <v>116</v>
      </c>
      <c r="D37" s="27" t="s">
        <v>50</v>
      </c>
      <c r="E37" s="29" t="s">
        <v>51</v>
      </c>
      <c r="F37" s="27" t="s">
        <v>20</v>
      </c>
      <c r="G37" s="30">
        <v>324</v>
      </c>
      <c r="H37" s="30">
        <v>59</v>
      </c>
      <c r="I37" s="30">
        <v>140.5</v>
      </c>
      <c r="J37" s="30">
        <v>1965</v>
      </c>
      <c r="K37" s="30">
        <v>3</v>
      </c>
      <c r="L37" s="31">
        <v>110.4</v>
      </c>
      <c r="M37" s="31">
        <f>IF(OR($K37="",$L37=""),"",ROUND('⚙️ SUPUESTOS'!$C$14*'⚙️ SUPUESTOS'!$C$18*SQRT($L37)*$K37,0))</f>
        <v>426</v>
      </c>
      <c r="N37" s="31">
        <v>1530</v>
      </c>
      <c r="O37" s="32">
        <v>41.648499999999999</v>
      </c>
      <c r="P37" s="32">
        <v>-4.7093699999999998</v>
      </c>
    </row>
    <row r="38" spans="1:16" ht="15" customHeight="1">
      <c r="A38" s="21">
        <f>IF($B38="","",COUNTA($B$4:B38))</f>
        <v>35</v>
      </c>
      <c r="B38" s="22" t="s">
        <v>117</v>
      </c>
      <c r="C38" s="21" t="s">
        <v>49</v>
      </c>
      <c r="D38" s="21" t="s">
        <v>50</v>
      </c>
      <c r="E38" s="23" t="s">
        <v>51</v>
      </c>
      <c r="F38" s="21" t="s">
        <v>20</v>
      </c>
      <c r="G38" s="24">
        <v>322</v>
      </c>
      <c r="H38" s="24">
        <v>65</v>
      </c>
      <c r="I38" s="24">
        <v>183.9</v>
      </c>
      <c r="J38" s="24">
        <v>1958</v>
      </c>
      <c r="K38" s="24">
        <v>5</v>
      </c>
      <c r="L38" s="25">
        <v>330.5</v>
      </c>
      <c r="M38" s="25">
        <f>IF(OR($K38="",$L38=""),"",ROUND('⚙️ SUPUESTOS'!$C$14*'⚙️ SUPUESTOS'!$C$18*SQRT($L38)*$K38,0))</f>
        <v>1227</v>
      </c>
      <c r="N38" s="25">
        <v>1373</v>
      </c>
      <c r="O38" s="26">
        <v>41.64922</v>
      </c>
      <c r="P38" s="26">
        <v>-4.7112800000000004</v>
      </c>
    </row>
    <row r="39" spans="1:16" ht="15" customHeight="1">
      <c r="A39" s="27">
        <f>IF($B39="","",COUNTA($B$4:B39))</f>
        <v>36</v>
      </c>
      <c r="B39" s="28" t="s">
        <v>118</v>
      </c>
      <c r="C39" s="27" t="s">
        <v>119</v>
      </c>
      <c r="D39" s="27" t="s">
        <v>50</v>
      </c>
      <c r="E39" s="29" t="s">
        <v>51</v>
      </c>
      <c r="F39" s="27" t="s">
        <v>19</v>
      </c>
      <c r="G39" s="30">
        <v>318</v>
      </c>
      <c r="H39" s="30">
        <v>59.5</v>
      </c>
      <c r="I39" s="30">
        <v>117.8</v>
      </c>
      <c r="J39" s="30">
        <v>1965</v>
      </c>
      <c r="K39" s="30">
        <v>3</v>
      </c>
      <c r="L39" s="31">
        <v>97.1</v>
      </c>
      <c r="M39" s="31">
        <f>IF(OR($K39="",$L39=""),"",ROUND('⚙️ SUPUESTOS'!$C$14*'⚙️ SUPUESTOS'!$C$18*SQRT($L39)*$K39,0))</f>
        <v>399</v>
      </c>
      <c r="N39" s="31">
        <v>1556</v>
      </c>
      <c r="O39" s="32">
        <v>41.648919999999997</v>
      </c>
      <c r="P39" s="32">
        <v>-4.7092200000000002</v>
      </c>
    </row>
    <row r="40" spans="1:16" ht="15" customHeight="1">
      <c r="A40" s="21">
        <f>IF($B40="","",COUNTA($B$4:B40))</f>
        <v>37</v>
      </c>
      <c r="B40" s="22" t="s">
        <v>120</v>
      </c>
      <c r="C40" s="21" t="s">
        <v>121</v>
      </c>
      <c r="D40" s="21" t="s">
        <v>50</v>
      </c>
      <c r="E40" s="23" t="s">
        <v>51</v>
      </c>
      <c r="F40" s="21" t="s">
        <v>21</v>
      </c>
      <c r="G40" s="24">
        <v>315</v>
      </c>
      <c r="H40" s="24">
        <v>66.5</v>
      </c>
      <c r="I40" s="24">
        <v>134.69999999999999</v>
      </c>
      <c r="J40" s="24">
        <v>1965</v>
      </c>
      <c r="K40" s="24">
        <v>3</v>
      </c>
      <c r="L40" s="25">
        <v>100.2</v>
      </c>
      <c r="M40" s="25">
        <f>IF(OR($K40="",$L40=""),"",ROUND('⚙️ SUPUESTOS'!$C$14*'⚙️ SUPUESTOS'!$C$18*SQRT($L40)*$K40,0))</f>
        <v>405</v>
      </c>
      <c r="N40" s="25">
        <v>1380</v>
      </c>
      <c r="O40" s="26">
        <v>41.648760000000003</v>
      </c>
      <c r="P40" s="26">
        <v>-4.7105600000000001</v>
      </c>
    </row>
    <row r="41" spans="1:16" ht="15" customHeight="1">
      <c r="A41" s="27">
        <f>IF($B41="","",COUNTA($B$4:B41))</f>
        <v>38</v>
      </c>
      <c r="B41" s="28" t="s">
        <v>122</v>
      </c>
      <c r="C41" s="27" t="s">
        <v>123</v>
      </c>
      <c r="D41" s="27" t="s">
        <v>124</v>
      </c>
      <c r="E41" s="29" t="s">
        <v>51</v>
      </c>
      <c r="F41" s="27" t="s">
        <v>19</v>
      </c>
      <c r="G41" s="30">
        <v>525</v>
      </c>
      <c r="H41" s="30">
        <v>89</v>
      </c>
      <c r="I41" s="30">
        <v>210.2</v>
      </c>
      <c r="J41" s="30">
        <v>1969</v>
      </c>
      <c r="K41" s="30">
        <v>6</v>
      </c>
      <c r="L41" s="31">
        <v>193.8</v>
      </c>
      <c r="M41" s="31">
        <f>IF(OR($K41="",$L41=""),"",ROUND('⚙️ SUPUESTOS'!$C$14*'⚙️ SUPUESTOS'!$C$18*SQRT($L41)*$K41,0))</f>
        <v>1128</v>
      </c>
      <c r="N41" s="31">
        <v>1454</v>
      </c>
      <c r="O41" s="32">
        <v>41.648107000000003</v>
      </c>
      <c r="P41" s="32">
        <v>-4.7109009999999998</v>
      </c>
    </row>
    <row r="42" spans="1:16" ht="15" customHeight="1">
      <c r="A42" s="21">
        <f>IF($B42="","",COUNTA($B$4:B42))</f>
        <v>39</v>
      </c>
      <c r="B42" s="22" t="s">
        <v>125</v>
      </c>
      <c r="C42" s="21" t="s">
        <v>126</v>
      </c>
      <c r="D42" s="21" t="s">
        <v>50</v>
      </c>
      <c r="E42" s="23" t="s">
        <v>51</v>
      </c>
      <c r="F42" s="21" t="s">
        <v>20</v>
      </c>
      <c r="G42" s="24">
        <v>313</v>
      </c>
      <c r="H42" s="24">
        <v>66</v>
      </c>
      <c r="I42" s="24">
        <v>126.2</v>
      </c>
      <c r="J42" s="24">
        <v>1965</v>
      </c>
      <c r="K42" s="24">
        <v>3</v>
      </c>
      <c r="L42" s="25">
        <v>103.4</v>
      </c>
      <c r="M42" s="25">
        <f>IF(OR($K42="",$L42=""),"",ROUND('⚙️ SUPUESTOS'!$C$14*'⚙️ SUPUESTOS'!$C$18*SQRT($L42)*$K42,0))</f>
        <v>412</v>
      </c>
      <c r="N42" s="25">
        <v>1337</v>
      </c>
      <c r="O42" s="26">
        <v>41.64958</v>
      </c>
      <c r="P42" s="26">
        <v>-4.7102399999999998</v>
      </c>
    </row>
    <row r="43" spans="1:16" ht="15" customHeight="1">
      <c r="A43" s="27">
        <f>IF($B43="","",COUNTA($B$4:B43))</f>
        <v>40</v>
      </c>
      <c r="B43" s="28" t="s">
        <v>127</v>
      </c>
      <c r="C43" s="27" t="s">
        <v>128</v>
      </c>
      <c r="D43" s="27" t="s">
        <v>50</v>
      </c>
      <c r="E43" s="29" t="s">
        <v>51</v>
      </c>
      <c r="F43" s="27" t="s">
        <v>20</v>
      </c>
      <c r="G43" s="30">
        <v>312</v>
      </c>
      <c r="H43" s="30">
        <v>65</v>
      </c>
      <c r="I43" s="30">
        <v>146.1</v>
      </c>
      <c r="J43" s="30">
        <v>1965</v>
      </c>
      <c r="K43" s="30">
        <v>3</v>
      </c>
      <c r="L43" s="31">
        <v>115.9</v>
      </c>
      <c r="M43" s="31">
        <f>IF(OR($K43="",$L43=""),"",ROUND('⚙️ SUPUESTOS'!$C$14*'⚙️ SUPUESTOS'!$C$18*SQRT($L43)*$K43,0))</f>
        <v>436</v>
      </c>
      <c r="N43" s="31">
        <v>1378</v>
      </c>
      <c r="O43" s="32">
        <v>41.649740000000001</v>
      </c>
      <c r="P43" s="32">
        <v>-4.7103599999999997</v>
      </c>
    </row>
    <row r="44" spans="1:16" ht="15" customHeight="1">
      <c r="A44" s="21">
        <f>IF($B44="","",COUNTA($B$4:B44))</f>
        <v>41</v>
      </c>
      <c r="B44" s="22" t="s">
        <v>129</v>
      </c>
      <c r="C44" s="21" t="s">
        <v>130</v>
      </c>
      <c r="D44" s="21" t="s">
        <v>50</v>
      </c>
      <c r="E44" s="23" t="s">
        <v>51</v>
      </c>
      <c r="F44" s="21" t="s">
        <v>20</v>
      </c>
      <c r="G44" s="24">
        <v>306</v>
      </c>
      <c r="H44" s="24">
        <v>65</v>
      </c>
      <c r="I44" s="24">
        <v>143</v>
      </c>
      <c r="J44" s="24">
        <v>1965</v>
      </c>
      <c r="K44" s="24">
        <v>3</v>
      </c>
      <c r="L44" s="25">
        <v>99.5</v>
      </c>
      <c r="M44" s="25">
        <f>IF(OR($K44="",$L44=""),"",ROUND('⚙️ SUPUESTOS'!$C$14*'⚙️ SUPUESTOS'!$C$18*SQRT($L44)*$K44,0))</f>
        <v>404</v>
      </c>
      <c r="N44" s="25">
        <v>1398</v>
      </c>
      <c r="O44" s="26">
        <v>41.649549999999998</v>
      </c>
      <c r="P44" s="26">
        <v>-4.7104699999999999</v>
      </c>
    </row>
    <row r="45" spans="1:16" ht="15" customHeight="1">
      <c r="A45" s="27">
        <f>IF($B45="","",COUNTA($B$4:B45))</f>
        <v>42</v>
      </c>
      <c r="B45" s="28" t="s">
        <v>131</v>
      </c>
      <c r="C45" s="27" t="s">
        <v>132</v>
      </c>
      <c r="D45" s="27" t="s">
        <v>50</v>
      </c>
      <c r="E45" s="29" t="s">
        <v>51</v>
      </c>
      <c r="F45" s="27" t="s">
        <v>20</v>
      </c>
      <c r="G45" s="30">
        <v>302</v>
      </c>
      <c r="H45" s="30">
        <v>64</v>
      </c>
      <c r="I45" s="30">
        <v>155.19999999999999</v>
      </c>
      <c r="J45" s="30">
        <v>1965</v>
      </c>
      <c r="K45" s="30">
        <v>3</v>
      </c>
      <c r="L45" s="31">
        <v>99.1</v>
      </c>
      <c r="M45" s="31">
        <f>IF(OR($K45="",$L45=""),"",ROUND('⚙️ SUPUESTOS'!$C$14*'⚙️ SUPUESTOS'!$C$18*SQRT($L45)*$K45,0))</f>
        <v>403</v>
      </c>
      <c r="N45" s="31">
        <v>1451</v>
      </c>
      <c r="O45" s="32">
        <v>41.648780000000002</v>
      </c>
      <c r="P45" s="32">
        <v>-4.7087500000000002</v>
      </c>
    </row>
    <row r="46" spans="1:16" ht="15" customHeight="1">
      <c r="A46" s="21">
        <f>IF($B46="","",COUNTA($B$4:B46))</f>
        <v>43</v>
      </c>
      <c r="B46" s="22" t="s">
        <v>133</v>
      </c>
      <c r="C46" s="21" t="s">
        <v>134</v>
      </c>
      <c r="D46" s="21" t="s">
        <v>50</v>
      </c>
      <c r="E46" s="23" t="s">
        <v>51</v>
      </c>
      <c r="F46" s="21" t="s">
        <v>20</v>
      </c>
      <c r="G46" s="24">
        <v>297</v>
      </c>
      <c r="H46" s="24">
        <v>63</v>
      </c>
      <c r="I46" s="24">
        <v>195.6</v>
      </c>
      <c r="J46" s="24">
        <v>1965</v>
      </c>
      <c r="K46" s="24">
        <v>3</v>
      </c>
      <c r="L46" s="25">
        <v>100.9</v>
      </c>
      <c r="M46" s="25">
        <f>IF(OR($K46="",$L46=""),"",ROUND('⚙️ SUPUESTOS'!$C$14*'⚙️ SUPUESTOS'!$C$18*SQRT($L46)*$K46,0))</f>
        <v>407</v>
      </c>
      <c r="N46" s="25">
        <v>1346</v>
      </c>
      <c r="O46" s="26">
        <v>41.64884</v>
      </c>
      <c r="P46" s="26">
        <v>-4.7098500000000003</v>
      </c>
    </row>
    <row r="47" spans="1:16" ht="15" customHeight="1">
      <c r="A47" s="27">
        <f>IF($B47="","",COUNTA($B$4:B47))</f>
        <v>44</v>
      </c>
      <c r="B47" s="28" t="s">
        <v>135</v>
      </c>
      <c r="C47" s="27" t="s">
        <v>49</v>
      </c>
      <c r="D47" s="27" t="s">
        <v>50</v>
      </c>
      <c r="E47" s="29" t="s">
        <v>51</v>
      </c>
      <c r="F47" s="27" t="s">
        <v>20</v>
      </c>
      <c r="G47" s="30">
        <v>295</v>
      </c>
      <c r="H47" s="30">
        <v>61</v>
      </c>
      <c r="I47" s="30">
        <v>170.6</v>
      </c>
      <c r="J47" s="30">
        <v>1958</v>
      </c>
      <c r="K47" s="30">
        <v>5</v>
      </c>
      <c r="L47" s="31">
        <v>330.5</v>
      </c>
      <c r="M47" s="31">
        <f>IF(OR($K47="",$L47=""),"",ROUND('⚙️ SUPUESTOS'!$C$14*'⚙️ SUPUESTOS'!$C$18*SQRT($L47)*$K47,0))</f>
        <v>1227</v>
      </c>
      <c r="N47" s="31">
        <v>1373</v>
      </c>
      <c r="O47" s="32">
        <v>41.649659999999997</v>
      </c>
      <c r="P47" s="32">
        <v>-4.7109800000000002</v>
      </c>
    </row>
    <row r="48" spans="1:16" ht="15" customHeight="1">
      <c r="A48" s="21">
        <f>IF($B48="","",COUNTA($B$4:B48))</f>
        <v>45</v>
      </c>
      <c r="B48" s="22" t="s">
        <v>136</v>
      </c>
      <c r="C48" s="21" t="s">
        <v>49</v>
      </c>
      <c r="D48" s="21" t="s">
        <v>50</v>
      </c>
      <c r="E48" s="23" t="s">
        <v>51</v>
      </c>
      <c r="F48" s="21" t="s">
        <v>21</v>
      </c>
      <c r="G48" s="24">
        <v>287</v>
      </c>
      <c r="H48" s="24">
        <v>60.5</v>
      </c>
      <c r="I48" s="24">
        <v>130.5</v>
      </c>
      <c r="J48" s="24">
        <v>1958</v>
      </c>
      <c r="K48" s="24">
        <v>5</v>
      </c>
      <c r="L48" s="25">
        <v>330.5</v>
      </c>
      <c r="M48" s="25">
        <f>IF(OR($K48="",$L48=""),"",ROUND('⚙️ SUPUESTOS'!$C$14*'⚙️ SUPUESTOS'!$C$18*SQRT($L48)*$K48,0))</f>
        <v>1227</v>
      </c>
      <c r="N48" s="25">
        <v>1373</v>
      </c>
      <c r="O48" s="26">
        <v>41.649033000000003</v>
      </c>
      <c r="P48" s="26">
        <v>-4.7111549999999998</v>
      </c>
    </row>
    <row r="49" spans="1:16" ht="15" customHeight="1">
      <c r="A49" s="27">
        <f>IF($B49="","",COUNTA($B$4:B49))</f>
        <v>46</v>
      </c>
      <c r="B49" s="28" t="s">
        <v>137</v>
      </c>
      <c r="C49" s="27" t="s">
        <v>138</v>
      </c>
      <c r="D49" s="27" t="s">
        <v>57</v>
      </c>
      <c r="E49" s="29" t="s">
        <v>51</v>
      </c>
      <c r="F49" s="27" t="s">
        <v>19</v>
      </c>
      <c r="G49" s="30">
        <v>433</v>
      </c>
      <c r="H49" s="30">
        <v>91</v>
      </c>
      <c r="I49" s="30">
        <v>195.6</v>
      </c>
      <c r="J49" s="30">
        <v>1965</v>
      </c>
      <c r="K49" s="30">
        <v>3</v>
      </c>
      <c r="L49" s="31">
        <v>102.5</v>
      </c>
      <c r="M49" s="31">
        <f>IF(OR($K49="",$L49=""),"",ROUND('⚙️ SUPUESTOS'!$C$14*'⚙️ SUPUESTOS'!$C$18*SQRT($L49)*$K49,0))</f>
        <v>410</v>
      </c>
      <c r="N49" s="31">
        <v>1409</v>
      </c>
      <c r="O49" s="32">
        <v>41.649900000000002</v>
      </c>
      <c r="P49" s="32">
        <v>-4.7089400000000001</v>
      </c>
    </row>
    <row r="50" spans="1:16" ht="15" customHeight="1">
      <c r="A50" s="21">
        <f>IF($B50="","",COUNTA($B$4:B50))</f>
        <v>47</v>
      </c>
      <c r="B50" s="22" t="s">
        <v>139</v>
      </c>
      <c r="C50" s="21" t="s">
        <v>140</v>
      </c>
      <c r="D50" s="21" t="s">
        <v>57</v>
      </c>
      <c r="E50" s="23" t="s">
        <v>51</v>
      </c>
      <c r="F50" s="21" t="s">
        <v>19</v>
      </c>
      <c r="G50" s="24">
        <v>425</v>
      </c>
      <c r="H50" s="24">
        <v>96.5</v>
      </c>
      <c r="I50" s="24">
        <v>242.6</v>
      </c>
      <c r="J50" s="24">
        <v>1965</v>
      </c>
      <c r="K50" s="24">
        <v>3</v>
      </c>
      <c r="L50" s="25">
        <v>99</v>
      </c>
      <c r="M50" s="25">
        <f>IF(OR($K50="",$L50=""),"",ROUND('⚙️ SUPUESTOS'!$C$14*'⚙️ SUPUESTOS'!$C$18*SQRT($L50)*$K50,0))</f>
        <v>403</v>
      </c>
      <c r="N50" s="25">
        <v>1507</v>
      </c>
      <c r="O50" s="26">
        <v>41.649189999999997</v>
      </c>
      <c r="P50" s="26">
        <v>-4.7081999999999997</v>
      </c>
    </row>
    <row r="51" spans="1:16" ht="15" customHeight="1">
      <c r="A51" s="27">
        <f>IF($B51="","",COUNTA($B$4:B51))</f>
        <v>48</v>
      </c>
      <c r="B51" s="28" t="s">
        <v>141</v>
      </c>
      <c r="C51" s="27" t="s">
        <v>142</v>
      </c>
      <c r="D51" s="27" t="s">
        <v>57</v>
      </c>
      <c r="E51" s="29" t="s">
        <v>51</v>
      </c>
      <c r="F51" s="27" t="s">
        <v>19</v>
      </c>
      <c r="G51" s="30">
        <v>424</v>
      </c>
      <c r="H51" s="30">
        <v>85.5</v>
      </c>
      <c r="I51" s="30">
        <v>169.8</v>
      </c>
      <c r="J51" s="30">
        <v>1965</v>
      </c>
      <c r="K51" s="30">
        <v>3</v>
      </c>
      <c r="L51" s="31">
        <v>100.9</v>
      </c>
      <c r="M51" s="31">
        <f>IF(OR($K51="",$L51=""),"",ROUND('⚙️ SUPUESTOS'!$C$14*'⚙️ SUPUESTOS'!$C$18*SQRT($L51)*$K51,0))</f>
        <v>407</v>
      </c>
      <c r="N51" s="31">
        <v>1381</v>
      </c>
      <c r="O51" s="32">
        <v>41.649729999999998</v>
      </c>
      <c r="P51" s="32">
        <v>-4.7085499999999998</v>
      </c>
    </row>
    <row r="52" spans="1:16" ht="15" customHeight="1">
      <c r="A52" s="21">
        <f>IF($B52="","",COUNTA($B$4:B52))</f>
        <v>49</v>
      </c>
      <c r="B52" s="22" t="s">
        <v>143</v>
      </c>
      <c r="C52" s="21" t="s">
        <v>144</v>
      </c>
      <c r="D52" s="21" t="s">
        <v>50</v>
      </c>
      <c r="E52" s="23" t="s">
        <v>51</v>
      </c>
      <c r="F52" s="21" t="s">
        <v>21</v>
      </c>
      <c r="G52" s="24">
        <v>269</v>
      </c>
      <c r="H52" s="24">
        <v>55</v>
      </c>
      <c r="I52" s="24">
        <v>164.8</v>
      </c>
      <c r="J52" s="24">
        <v>1965</v>
      </c>
      <c r="K52" s="24">
        <v>3</v>
      </c>
      <c r="L52" s="25">
        <v>101.1</v>
      </c>
      <c r="M52" s="25">
        <f>IF(OR($K52="",$L52=""),"",ROUND('⚙️ SUPUESTOS'!$C$14*'⚙️ SUPUESTOS'!$C$18*SQRT($L52)*$K52,0))</f>
        <v>407</v>
      </c>
      <c r="N52" s="25">
        <v>1390</v>
      </c>
      <c r="O52" s="26">
        <v>41.648299999999999</v>
      </c>
      <c r="P52" s="26">
        <v>-4.7094399999999998</v>
      </c>
    </row>
    <row r="53" spans="1:16" ht="15" customHeight="1">
      <c r="A53" s="27">
        <f>IF($B53="","",COUNTA($B$4:B53))</f>
        <v>50</v>
      </c>
      <c r="B53" s="28" t="s">
        <v>145</v>
      </c>
      <c r="C53" s="27" t="s">
        <v>146</v>
      </c>
      <c r="D53" s="27" t="s">
        <v>50</v>
      </c>
      <c r="E53" s="29" t="s">
        <v>51</v>
      </c>
      <c r="F53" s="27" t="s">
        <v>21</v>
      </c>
      <c r="G53" s="30">
        <v>268</v>
      </c>
      <c r="H53" s="30">
        <v>56.5</v>
      </c>
      <c r="I53" s="30">
        <v>119.3</v>
      </c>
      <c r="J53" s="30">
        <v>1965</v>
      </c>
      <c r="K53" s="30">
        <v>3</v>
      </c>
      <c r="L53" s="31">
        <v>96.9</v>
      </c>
      <c r="M53" s="31">
        <f>IF(OR($K53="",$L53=""),"",ROUND('⚙️ SUPUESTOS'!$C$14*'⚙️ SUPUESTOS'!$C$18*SQRT($L53)*$K53,0))</f>
        <v>399</v>
      </c>
      <c r="N53" s="31">
        <v>1536</v>
      </c>
      <c r="O53" s="32">
        <v>41.648449999999997</v>
      </c>
      <c r="P53" s="32">
        <v>-4.7098800000000001</v>
      </c>
    </row>
    <row r="54" spans="1:16" ht="15" customHeight="1">
      <c r="A54" s="21">
        <f>IF($B54="","",COUNTA($B$4:B54))</f>
        <v>51</v>
      </c>
      <c r="B54" s="22" t="s">
        <v>147</v>
      </c>
      <c r="C54" s="21" t="s">
        <v>148</v>
      </c>
      <c r="D54" s="21" t="s">
        <v>57</v>
      </c>
      <c r="E54" s="23" t="s">
        <v>51</v>
      </c>
      <c r="F54" s="21" t="s">
        <v>20</v>
      </c>
      <c r="G54" s="24">
        <v>412</v>
      </c>
      <c r="H54" s="24">
        <v>87</v>
      </c>
      <c r="I54" s="24">
        <v>296.89999999999998</v>
      </c>
      <c r="J54" s="24">
        <v>1936</v>
      </c>
      <c r="K54" s="24">
        <v>1</v>
      </c>
      <c r="L54" s="25">
        <v>80.7</v>
      </c>
      <c r="M54" s="25">
        <f>IF(OR($K54="",$L54=""),"",ROUND('⚙️ SUPUESTOS'!$C$14*'⚙️ SUPUESTOS'!$C$18*SQRT($L54)*$K54,0))</f>
        <v>121</v>
      </c>
      <c r="N54" s="25">
        <v>1528</v>
      </c>
      <c r="O54" s="26">
        <v>41.65016</v>
      </c>
      <c r="P54" s="26">
        <v>-4.7096</v>
      </c>
    </row>
    <row r="55" spans="1:16" ht="15" customHeight="1">
      <c r="A55" s="27">
        <f>IF($B55="","",COUNTA($B$4:B55))</f>
        <v>52</v>
      </c>
      <c r="B55" s="28" t="s">
        <v>149</v>
      </c>
      <c r="C55" s="27" t="s">
        <v>150</v>
      </c>
      <c r="D55" s="27" t="s">
        <v>50</v>
      </c>
      <c r="E55" s="29" t="s">
        <v>51</v>
      </c>
      <c r="F55" s="27" t="s">
        <v>21</v>
      </c>
      <c r="G55" s="30">
        <v>264</v>
      </c>
      <c r="H55" s="30">
        <v>55.5</v>
      </c>
      <c r="I55" s="30">
        <v>120.8</v>
      </c>
      <c r="J55" s="30">
        <v>1965</v>
      </c>
      <c r="K55" s="30">
        <v>3</v>
      </c>
      <c r="L55" s="31">
        <v>112.5</v>
      </c>
      <c r="M55" s="31">
        <f>IF(OR($K55="",$L55=""),"",ROUND('⚙️ SUPUESTOS'!$C$14*'⚙️ SUPUESTOS'!$C$18*SQRT($L55)*$K55,0))</f>
        <v>430</v>
      </c>
      <c r="N55" s="31">
        <v>1405</v>
      </c>
      <c r="O55" s="32">
        <v>41.649419999999999</v>
      </c>
      <c r="P55" s="32">
        <v>-4.7100499999999998</v>
      </c>
    </row>
    <row r="56" spans="1:16" ht="15" customHeight="1">
      <c r="A56" s="21">
        <f>IF($B56="","",COUNTA($B$4:B56))</f>
        <v>53</v>
      </c>
      <c r="B56" s="22" t="s">
        <v>151</v>
      </c>
      <c r="C56" s="21" t="s">
        <v>152</v>
      </c>
      <c r="D56" s="21" t="s">
        <v>57</v>
      </c>
      <c r="E56" s="23" t="s">
        <v>51</v>
      </c>
      <c r="F56" s="21" t="s">
        <v>20</v>
      </c>
      <c r="G56" s="24">
        <v>402</v>
      </c>
      <c r="H56" s="24">
        <v>85</v>
      </c>
      <c r="I56" s="24">
        <v>211.5</v>
      </c>
      <c r="J56" s="24">
        <v>1965</v>
      </c>
      <c r="K56" s="24">
        <v>3</v>
      </c>
      <c r="L56" s="25">
        <v>101.2</v>
      </c>
      <c r="M56" s="25">
        <f>IF(OR($K56="",$L56=""),"",ROUND('⚙️ SUPUESTOS'!$C$14*'⚙️ SUPUESTOS'!$C$18*SQRT($L56)*$K56,0))</f>
        <v>407</v>
      </c>
      <c r="N56" s="25">
        <v>1382</v>
      </c>
      <c r="O56" s="26">
        <v>41.649410000000003</v>
      </c>
      <c r="P56" s="26">
        <v>-4.7083599999999999</v>
      </c>
    </row>
    <row r="57" spans="1:16" ht="15" customHeight="1">
      <c r="A57" s="27">
        <f>IF($B57="","",COUNTA($B$4:B57))</f>
        <v>54</v>
      </c>
      <c r="B57" s="28" t="s">
        <v>153</v>
      </c>
      <c r="C57" s="27" t="s">
        <v>154</v>
      </c>
      <c r="D57" s="27" t="s">
        <v>50</v>
      </c>
      <c r="E57" s="29" t="s">
        <v>51</v>
      </c>
      <c r="F57" s="27" t="s">
        <v>21</v>
      </c>
      <c r="G57" s="30">
        <v>256</v>
      </c>
      <c r="H57" s="30">
        <v>53.5</v>
      </c>
      <c r="I57" s="30">
        <v>123.2</v>
      </c>
      <c r="J57" s="30">
        <v>1965</v>
      </c>
      <c r="K57" s="30">
        <v>3</v>
      </c>
      <c r="L57" s="31">
        <v>98.1</v>
      </c>
      <c r="M57" s="31">
        <f>IF(OR($K57="",$L57=""),"",ROUND('⚙️ SUPUESTOS'!$C$14*'⚙️ SUPUESTOS'!$C$18*SQRT($L57)*$K57,0))</f>
        <v>401</v>
      </c>
      <c r="N57" s="31">
        <v>1549</v>
      </c>
      <c r="O57" s="32">
        <v>41.648760000000003</v>
      </c>
      <c r="P57" s="32">
        <v>-4.70852</v>
      </c>
    </row>
    <row r="58" spans="1:16" ht="15" customHeight="1">
      <c r="A58" s="21">
        <f>IF($B58="","",COUNTA($B$4:B58))</f>
        <v>55</v>
      </c>
      <c r="B58" s="22" t="s">
        <v>155</v>
      </c>
      <c r="C58" s="21" t="s">
        <v>156</v>
      </c>
      <c r="D58" s="21" t="s">
        <v>57</v>
      </c>
      <c r="E58" s="23" t="s">
        <v>51</v>
      </c>
      <c r="F58" s="21" t="s">
        <v>19</v>
      </c>
      <c r="G58" s="24">
        <v>401</v>
      </c>
      <c r="H58" s="24">
        <v>85</v>
      </c>
      <c r="I58" s="24">
        <v>202.5</v>
      </c>
      <c r="J58" s="24">
        <v>1965</v>
      </c>
      <c r="K58" s="24">
        <v>3</v>
      </c>
      <c r="L58" s="25">
        <v>102</v>
      </c>
      <c r="M58" s="25">
        <f>IF(OR($K58="",$L58=""),"",ROUND('⚙️ SUPUESTOS'!$C$14*'⚙️ SUPUESTOS'!$C$18*SQRT($L58)*$K58,0))</f>
        <v>409</v>
      </c>
      <c r="N58" s="25">
        <v>1295</v>
      </c>
      <c r="O58" s="26">
        <v>41.650069999999999</v>
      </c>
      <c r="P58" s="26">
        <v>-4.70838</v>
      </c>
    </row>
    <row r="59" spans="1:16" ht="15" customHeight="1">
      <c r="A59" s="27">
        <f>IF($B59="","",COUNTA($B$4:B59))</f>
        <v>56</v>
      </c>
      <c r="B59" s="28" t="s">
        <v>157</v>
      </c>
      <c r="C59" s="27" t="s">
        <v>158</v>
      </c>
      <c r="D59" s="27" t="s">
        <v>57</v>
      </c>
      <c r="E59" s="29" t="s">
        <v>51</v>
      </c>
      <c r="F59" s="27" t="s">
        <v>19</v>
      </c>
      <c r="G59" s="30">
        <v>389</v>
      </c>
      <c r="H59" s="30">
        <v>82</v>
      </c>
      <c r="I59" s="30">
        <v>182.6</v>
      </c>
      <c r="J59" s="30">
        <v>1965</v>
      </c>
      <c r="K59" s="30">
        <v>3</v>
      </c>
      <c r="L59" s="31">
        <v>115.8</v>
      </c>
      <c r="M59" s="31">
        <f>IF(OR($K59="",$L59=""),"",ROUND('⚙️ SUPUESTOS'!$C$14*'⚙️ SUPUESTOS'!$C$18*SQRT($L59)*$K59,0))</f>
        <v>436</v>
      </c>
      <c r="N59" s="31">
        <v>1420</v>
      </c>
      <c r="O59" s="32">
        <v>41.649250000000002</v>
      </c>
      <c r="P59" s="32">
        <v>-4.7088599999999996</v>
      </c>
    </row>
    <row r="60" spans="1:16" ht="15" customHeight="1">
      <c r="A60" s="21">
        <f>IF($B60="","",COUNTA($B$4:B60))</f>
        <v>57</v>
      </c>
      <c r="B60" s="22" t="s">
        <v>159</v>
      </c>
      <c r="C60" s="21" t="s">
        <v>160</v>
      </c>
      <c r="D60" s="21" t="s">
        <v>57</v>
      </c>
      <c r="E60" s="23" t="s">
        <v>51</v>
      </c>
      <c r="F60" s="21" t="s">
        <v>19</v>
      </c>
      <c r="G60" s="24">
        <v>387</v>
      </c>
      <c r="H60" s="24">
        <v>73</v>
      </c>
      <c r="I60" s="24">
        <v>149.1</v>
      </c>
      <c r="J60" s="24">
        <v>1965</v>
      </c>
      <c r="K60" s="24">
        <v>3</v>
      </c>
      <c r="L60" s="25">
        <v>99.8</v>
      </c>
      <c r="M60" s="25">
        <f>IF(OR($K60="",$L60=""),"",ROUND('⚙️ SUPUESTOS'!$C$14*'⚙️ SUPUESTOS'!$C$18*SQRT($L60)*$K60,0))</f>
        <v>405</v>
      </c>
      <c r="N60" s="25">
        <v>1260</v>
      </c>
      <c r="O60" s="26">
        <v>41.649479999999997</v>
      </c>
      <c r="P60" s="26">
        <v>-4.7085600000000003</v>
      </c>
    </row>
    <row r="61" spans="1:16" ht="15" customHeight="1">
      <c r="A61" s="27">
        <f>IF($B61="","",COUNTA($B$4:B61))</f>
        <v>58</v>
      </c>
      <c r="B61" s="28" t="s">
        <v>161</v>
      </c>
      <c r="C61" s="27" t="s">
        <v>162</v>
      </c>
      <c r="D61" s="27" t="s">
        <v>50</v>
      </c>
      <c r="E61" s="29" t="s">
        <v>51</v>
      </c>
      <c r="F61" s="27" t="s">
        <v>21</v>
      </c>
      <c r="G61" s="30">
        <v>239</v>
      </c>
      <c r="H61" s="30">
        <v>50</v>
      </c>
      <c r="I61" s="30">
        <v>86.8</v>
      </c>
      <c r="J61" s="30">
        <v>1965</v>
      </c>
      <c r="K61" s="30">
        <v>3</v>
      </c>
      <c r="L61" s="31">
        <v>98.5</v>
      </c>
      <c r="M61" s="31">
        <f>IF(OR($K61="",$L61=""),"",ROUND('⚙️ SUPUESTOS'!$C$14*'⚙️ SUPUESTOS'!$C$18*SQRT($L61)*$K61,0))</f>
        <v>402</v>
      </c>
      <c r="N61" s="31">
        <v>1449</v>
      </c>
      <c r="O61" s="32">
        <v>41.648339999999997</v>
      </c>
      <c r="P61" s="32">
        <v>-4.7091099999999999</v>
      </c>
    </row>
    <row r="62" spans="1:16" ht="15" customHeight="1">
      <c r="A62" s="21">
        <f>IF($B62="","",COUNTA($B$4:B62))</f>
        <v>59</v>
      </c>
      <c r="B62" s="22" t="s">
        <v>163</v>
      </c>
      <c r="C62" s="21" t="s">
        <v>49</v>
      </c>
      <c r="D62" s="21" t="s">
        <v>50</v>
      </c>
      <c r="E62" s="23" t="s">
        <v>51</v>
      </c>
      <c r="F62" s="21" t="s">
        <v>21</v>
      </c>
      <c r="G62" s="24">
        <v>232</v>
      </c>
      <c r="H62" s="24">
        <v>49</v>
      </c>
      <c r="I62" s="24">
        <v>134.4</v>
      </c>
      <c r="J62" s="24">
        <v>1958</v>
      </c>
      <c r="K62" s="24">
        <v>5</v>
      </c>
      <c r="L62" s="25">
        <v>330.5</v>
      </c>
      <c r="M62" s="25">
        <f>IF(OR($K62="",$L62=""),"",ROUND('⚙️ SUPUESTOS'!$C$14*'⚙️ SUPUESTOS'!$C$18*SQRT($L62)*$K62,0))</f>
        <v>1227</v>
      </c>
      <c r="N62" s="25">
        <v>1373</v>
      </c>
      <c r="O62" s="26">
        <v>41.649369999999998</v>
      </c>
      <c r="P62" s="26">
        <v>-4.7111799999999997</v>
      </c>
    </row>
    <row r="63" spans="1:16" ht="15" customHeight="1">
      <c r="A63" s="27">
        <f>IF($B63="","",COUNTA($B$4:B63))</f>
        <v>60</v>
      </c>
      <c r="B63" s="28" t="s">
        <v>164</v>
      </c>
      <c r="C63" s="27" t="s">
        <v>165</v>
      </c>
      <c r="D63" s="27" t="s">
        <v>66</v>
      </c>
      <c r="E63" s="29" t="s">
        <v>51</v>
      </c>
      <c r="F63" s="27" t="s">
        <v>19</v>
      </c>
      <c r="G63" s="30">
        <v>494</v>
      </c>
      <c r="H63" s="30">
        <v>104</v>
      </c>
      <c r="I63" s="30">
        <v>239.9</v>
      </c>
      <c r="J63" s="30">
        <v>1965</v>
      </c>
      <c r="K63" s="30">
        <v>3</v>
      </c>
      <c r="L63" s="31">
        <v>97.8</v>
      </c>
      <c r="M63" s="31">
        <f>IF(OR($K63="",$L63=""),"",ROUND('⚙️ SUPUESTOS'!$C$14*'⚙️ SUPUESTOS'!$C$18*SQRT($L63)*$K63,0))</f>
        <v>401</v>
      </c>
      <c r="N63" s="31">
        <v>1415</v>
      </c>
      <c r="O63" s="32">
        <v>41.649140000000003</v>
      </c>
      <c r="P63" s="32">
        <v>-4.7075199999999997</v>
      </c>
    </row>
    <row r="64" spans="1:16" ht="15" customHeight="1">
      <c r="A64" s="21">
        <f>IF($B64="","",COUNTA($B$4:B64))</f>
        <v>61</v>
      </c>
      <c r="B64" s="22" t="s">
        <v>166</v>
      </c>
      <c r="C64" s="21" t="s">
        <v>167</v>
      </c>
      <c r="D64" s="21" t="s">
        <v>57</v>
      </c>
      <c r="E64" s="23" t="s">
        <v>51</v>
      </c>
      <c r="F64" s="21" t="s">
        <v>20</v>
      </c>
      <c r="G64" s="24">
        <v>369</v>
      </c>
      <c r="H64" s="24">
        <v>75</v>
      </c>
      <c r="I64" s="24">
        <v>234.8</v>
      </c>
      <c r="J64" s="24">
        <v>1962</v>
      </c>
      <c r="K64" s="24">
        <v>3</v>
      </c>
      <c r="L64" s="25">
        <v>90.4</v>
      </c>
      <c r="M64" s="25">
        <f>IF(OR($K64="",$L64=""),"",ROUND('⚙️ SUPUESTOS'!$C$14*'⚙️ SUPUESTOS'!$C$18*SQRT($L64)*$K64,0))</f>
        <v>385</v>
      </c>
      <c r="N64" s="25">
        <v>1120</v>
      </c>
      <c r="O64" s="26">
        <v>41.649839999999998</v>
      </c>
      <c r="P64" s="26">
        <v>-4.7102500000000003</v>
      </c>
    </row>
    <row r="65" spans="1:16" ht="15" customHeight="1">
      <c r="A65" s="27">
        <f>IF($B65="","",COUNTA($B$4:B65))</f>
        <v>62</v>
      </c>
      <c r="B65" s="28" t="s">
        <v>168</v>
      </c>
      <c r="C65" s="27" t="s">
        <v>169</v>
      </c>
      <c r="D65" s="27" t="s">
        <v>57</v>
      </c>
      <c r="E65" s="29" t="s">
        <v>51</v>
      </c>
      <c r="F65" s="27" t="s">
        <v>19</v>
      </c>
      <c r="G65" s="30">
        <v>367</v>
      </c>
      <c r="H65" s="30">
        <v>77</v>
      </c>
      <c r="I65" s="30">
        <v>261.7</v>
      </c>
      <c r="J65" s="30">
        <v>1965</v>
      </c>
      <c r="K65" s="30">
        <v>3</v>
      </c>
      <c r="L65" s="31">
        <v>114.1</v>
      </c>
      <c r="M65" s="31">
        <f>IF(OR($K65="",$L65=""),"",ROUND('⚙️ SUPUESTOS'!$C$14*'⚙️ SUPUESTOS'!$C$18*SQRT($L65)*$K65,0))</f>
        <v>433</v>
      </c>
      <c r="N65" s="31">
        <v>1411</v>
      </c>
      <c r="O65" s="32">
        <v>41.649120000000003</v>
      </c>
      <c r="P65" s="32">
        <v>-4.70852</v>
      </c>
    </row>
    <row r="66" spans="1:16" ht="15" customHeight="1">
      <c r="A66" s="21">
        <f>IF($B66="","",COUNTA($B$4:B66))</f>
        <v>63</v>
      </c>
      <c r="B66" s="22" t="s">
        <v>170</v>
      </c>
      <c r="C66" s="21" t="s">
        <v>171</v>
      </c>
      <c r="D66" s="21" t="s">
        <v>50</v>
      </c>
      <c r="E66" s="23" t="s">
        <v>51</v>
      </c>
      <c r="F66" s="21" t="s">
        <v>21</v>
      </c>
      <c r="G66" s="24">
        <v>207</v>
      </c>
      <c r="H66" s="24">
        <v>41</v>
      </c>
      <c r="I66" s="24">
        <v>103.5</v>
      </c>
      <c r="J66" s="24">
        <v>1965</v>
      </c>
      <c r="K66" s="24">
        <v>3</v>
      </c>
      <c r="L66" s="25">
        <v>113.4</v>
      </c>
      <c r="M66" s="25">
        <f>IF(OR($K66="",$L66=""),"",ROUND('⚙️ SUPUESTOS'!$C$14*'⚙️ SUPUESTOS'!$C$18*SQRT($L66)*$K66,0))</f>
        <v>431</v>
      </c>
      <c r="N66" s="25">
        <v>1445</v>
      </c>
      <c r="O66" s="26">
        <v>41.64922</v>
      </c>
      <c r="P66" s="26">
        <v>-4.7092200000000002</v>
      </c>
    </row>
    <row r="67" spans="1:16" ht="15" customHeight="1">
      <c r="A67" s="27">
        <f>IF($B67="","",COUNTA($B$4:B67))</f>
        <v>64</v>
      </c>
      <c r="B67" s="28" t="s">
        <v>172</v>
      </c>
      <c r="C67" s="27" t="s">
        <v>173</v>
      </c>
      <c r="D67" s="27" t="s">
        <v>57</v>
      </c>
      <c r="E67" s="29" t="s">
        <v>51</v>
      </c>
      <c r="F67" s="27" t="s">
        <v>20</v>
      </c>
      <c r="G67" s="30">
        <v>347</v>
      </c>
      <c r="H67" s="30">
        <v>81</v>
      </c>
      <c r="I67" s="30">
        <v>225.3</v>
      </c>
      <c r="J67" s="30">
        <v>1965</v>
      </c>
      <c r="K67" s="30">
        <v>3</v>
      </c>
      <c r="L67" s="31">
        <v>99.5</v>
      </c>
      <c r="M67" s="31">
        <f>IF(OR($K67="",$L67=""),"",ROUND('⚙️ SUPUESTOS'!$C$14*'⚙️ SUPUESTOS'!$C$18*SQRT($L67)*$K67,0))</f>
        <v>404</v>
      </c>
      <c r="N67" s="31">
        <v>992</v>
      </c>
      <c r="O67" s="32">
        <v>41.649450000000002</v>
      </c>
      <c r="P67" s="32">
        <v>-4.70885</v>
      </c>
    </row>
    <row r="68" spans="1:16" ht="15" customHeight="1">
      <c r="A68" s="21">
        <f>IF($B68="","",COUNTA($B$4:B68))</f>
        <v>65</v>
      </c>
      <c r="B68" s="22" t="s">
        <v>174</v>
      </c>
      <c r="C68" s="21" t="s">
        <v>175</v>
      </c>
      <c r="D68" s="21" t="s">
        <v>50</v>
      </c>
      <c r="E68" s="23" t="s">
        <v>51</v>
      </c>
      <c r="F68" s="21" t="s">
        <v>21</v>
      </c>
      <c r="G68" s="24">
        <v>200</v>
      </c>
      <c r="H68" s="24">
        <v>42</v>
      </c>
      <c r="I68" s="24">
        <v>80.8</v>
      </c>
      <c r="J68" s="24">
        <v>1965</v>
      </c>
      <c r="K68" s="24">
        <v>3</v>
      </c>
      <c r="L68" s="25">
        <v>113</v>
      </c>
      <c r="M68" s="25">
        <f>IF(OR($K68="",$L68=""),"",ROUND('⚙️ SUPUESTOS'!$C$14*'⚙️ SUPUESTOS'!$C$18*SQRT($L68)*$K68,0))</f>
        <v>431</v>
      </c>
      <c r="N68" s="25">
        <v>1381</v>
      </c>
      <c r="O68" s="26">
        <v>41.64902</v>
      </c>
      <c r="P68" s="26">
        <v>-4.7088400000000004</v>
      </c>
    </row>
    <row r="69" spans="1:16" ht="15" customHeight="1">
      <c r="A69" s="27">
        <f>IF($B69="","",COUNTA($B$4:B69))</f>
        <v>66</v>
      </c>
      <c r="B69" s="28" t="s">
        <v>176</v>
      </c>
      <c r="C69" s="27" t="s">
        <v>177</v>
      </c>
      <c r="D69" s="27" t="s">
        <v>57</v>
      </c>
      <c r="E69" s="29" t="s">
        <v>51</v>
      </c>
      <c r="F69" s="27" t="s">
        <v>19</v>
      </c>
      <c r="G69" s="30">
        <v>343</v>
      </c>
      <c r="H69" s="30">
        <v>58</v>
      </c>
      <c r="I69" s="30">
        <v>122.8</v>
      </c>
      <c r="J69" s="30">
        <v>1964</v>
      </c>
      <c r="K69" s="30">
        <v>4</v>
      </c>
      <c r="L69" s="31">
        <v>231.1</v>
      </c>
      <c r="M69" s="31">
        <f>IF(OR($K69="",$L69=""),"",ROUND('⚙️ SUPUESTOS'!$C$14*'⚙️ SUPUESTOS'!$C$18*SQRT($L69)*$K69,0))</f>
        <v>821</v>
      </c>
      <c r="N69" s="31">
        <v>1321</v>
      </c>
      <c r="O69" s="32">
        <v>41.65</v>
      </c>
      <c r="P69" s="32">
        <v>-4.7106000000000003</v>
      </c>
    </row>
    <row r="70" spans="1:16" ht="15" customHeight="1">
      <c r="A70" s="21">
        <f>IF($B70="","",COUNTA($B$4:B70))</f>
        <v>67</v>
      </c>
      <c r="B70" s="22" t="s">
        <v>178</v>
      </c>
      <c r="C70" s="21" t="s">
        <v>179</v>
      </c>
      <c r="D70" s="21" t="s">
        <v>57</v>
      </c>
      <c r="E70" s="23" t="s">
        <v>51</v>
      </c>
      <c r="F70" s="21" t="s">
        <v>20</v>
      </c>
      <c r="G70" s="24">
        <v>341</v>
      </c>
      <c r="H70" s="24">
        <v>90</v>
      </c>
      <c r="I70" s="24">
        <v>211.1</v>
      </c>
      <c r="J70" s="24">
        <v>1965</v>
      </c>
      <c r="K70" s="24">
        <v>3</v>
      </c>
      <c r="L70" s="25">
        <v>100.9</v>
      </c>
      <c r="M70" s="25">
        <f>IF(OR($K70="",$L70=""),"",ROUND('⚙️ SUPUESTOS'!$C$14*'⚙️ SUPUESTOS'!$C$18*SQRT($L70)*$K70,0))</f>
        <v>407</v>
      </c>
      <c r="N70" s="25">
        <v>1419</v>
      </c>
      <c r="O70" s="26">
        <v>41.649900000000002</v>
      </c>
      <c r="P70" s="26">
        <v>-4.7080000000000002</v>
      </c>
    </row>
    <row r="71" spans="1:16" ht="15" customHeight="1">
      <c r="A71" s="27">
        <f>IF($B71="","",COUNTA($B$4:B71))</f>
        <v>68</v>
      </c>
      <c r="B71" s="28" t="s">
        <v>180</v>
      </c>
      <c r="C71" s="27" t="s">
        <v>181</v>
      </c>
      <c r="D71" s="27" t="s">
        <v>50</v>
      </c>
      <c r="E71" s="29" t="s">
        <v>51</v>
      </c>
      <c r="F71" s="27" t="s">
        <v>22</v>
      </c>
      <c r="G71" s="30">
        <v>194</v>
      </c>
      <c r="H71" s="30">
        <v>41</v>
      </c>
      <c r="I71" s="30">
        <v>50.2</v>
      </c>
      <c r="J71" s="30">
        <v>1965</v>
      </c>
      <c r="K71" s="30">
        <v>3</v>
      </c>
      <c r="L71" s="31">
        <v>111.3</v>
      </c>
      <c r="M71" s="31">
        <f>IF(OR($K71="",$L71=""),"",ROUND('⚙️ SUPUESTOS'!$C$14*'⚙️ SUPUESTOS'!$C$18*SQRT($L71)*$K71,0))</f>
        <v>427</v>
      </c>
      <c r="N71" s="31">
        <v>1503</v>
      </c>
      <c r="O71" s="32">
        <v>41.648620000000001</v>
      </c>
      <c r="P71" s="32">
        <v>-4.7092700000000001</v>
      </c>
    </row>
    <row r="72" spans="1:16" ht="15" customHeight="1">
      <c r="A72" s="21">
        <f>IF($B72="","",COUNTA($B$4:B72))</f>
        <v>69</v>
      </c>
      <c r="B72" s="22" t="s">
        <v>182</v>
      </c>
      <c r="C72" s="21" t="s">
        <v>183</v>
      </c>
      <c r="D72" s="21" t="s">
        <v>57</v>
      </c>
      <c r="E72" s="23" t="s">
        <v>51</v>
      </c>
      <c r="F72" s="21" t="s">
        <v>19</v>
      </c>
      <c r="G72" s="24">
        <v>334</v>
      </c>
      <c r="H72" s="24">
        <v>70</v>
      </c>
      <c r="I72" s="24">
        <v>180</v>
      </c>
      <c r="J72" s="24">
        <v>1965</v>
      </c>
      <c r="K72" s="24">
        <v>3</v>
      </c>
      <c r="L72" s="25">
        <v>103.7</v>
      </c>
      <c r="M72" s="25">
        <f>IF(OR($K72="",$L72=""),"",ROUND('⚙️ SUPUESTOS'!$C$14*'⚙️ SUPUESTOS'!$C$18*SQRT($L72)*$K72,0))</f>
        <v>412</v>
      </c>
      <c r="N72" s="25">
        <v>906</v>
      </c>
      <c r="O72" s="26">
        <v>41.649590000000003</v>
      </c>
      <c r="P72" s="26">
        <v>-4.7087399999999997</v>
      </c>
    </row>
    <row r="73" spans="1:16" ht="15" customHeight="1">
      <c r="A73" s="27">
        <f>IF($B73="","",COUNTA($B$4:B73))</f>
        <v>70</v>
      </c>
      <c r="B73" s="28" t="s">
        <v>184</v>
      </c>
      <c r="C73" s="27" t="s">
        <v>185</v>
      </c>
      <c r="D73" s="27" t="s">
        <v>50</v>
      </c>
      <c r="E73" s="29" t="s">
        <v>51</v>
      </c>
      <c r="F73" s="27" t="s">
        <v>21</v>
      </c>
      <c r="G73" s="30">
        <v>184</v>
      </c>
      <c r="H73" s="30">
        <v>38</v>
      </c>
      <c r="I73" s="30">
        <v>87.8</v>
      </c>
      <c r="J73" s="30">
        <v>1965</v>
      </c>
      <c r="K73" s="30">
        <v>3</v>
      </c>
      <c r="L73" s="31">
        <v>96.9</v>
      </c>
      <c r="M73" s="31">
        <f>IF(OR($K73="",$L73=""),"",ROUND('⚙️ SUPUESTOS'!$C$14*'⚙️ SUPUESTOS'!$C$18*SQRT($L73)*$K73,0))</f>
        <v>399</v>
      </c>
      <c r="N73" s="31">
        <v>1458</v>
      </c>
      <c r="O73" s="32">
        <v>41.64866</v>
      </c>
      <c r="P73" s="32">
        <v>-4.7086699999999997</v>
      </c>
    </row>
    <row r="74" spans="1:16" ht="15" customHeight="1">
      <c r="A74" s="21">
        <f>IF($B74="","",COUNTA($B$4:B74))</f>
        <v>71</v>
      </c>
      <c r="B74" s="22" t="s">
        <v>186</v>
      </c>
      <c r="C74" s="21" t="s">
        <v>187</v>
      </c>
      <c r="D74" s="21" t="s">
        <v>124</v>
      </c>
      <c r="E74" s="23" t="s">
        <v>51</v>
      </c>
      <c r="F74" s="21" t="s">
        <v>19</v>
      </c>
      <c r="G74" s="24">
        <v>393</v>
      </c>
      <c r="H74" s="24">
        <v>81.5</v>
      </c>
      <c r="I74" s="24">
        <v>223.6</v>
      </c>
      <c r="J74" s="24">
        <v>1969</v>
      </c>
      <c r="K74" s="24">
        <v>6</v>
      </c>
      <c r="L74" s="25">
        <v>271.8</v>
      </c>
      <c r="M74" s="25">
        <f>IF(OR($K74="",$L74=""),"",ROUND('⚙️ SUPUESTOS'!$C$14*'⚙️ SUPUESTOS'!$C$18*SQRT($L74)*$K74,0))</f>
        <v>1335</v>
      </c>
      <c r="N74" s="25">
        <v>1426</v>
      </c>
      <c r="O74" s="26">
        <v>41.648479999999999</v>
      </c>
      <c r="P74" s="26">
        <v>-4.7117800000000001</v>
      </c>
    </row>
    <row r="75" spans="1:16" ht="15" customHeight="1">
      <c r="A75" s="27">
        <f>IF($B75="","",COUNTA($B$4:B75))</f>
        <v>72</v>
      </c>
      <c r="B75" s="28" t="s">
        <v>188</v>
      </c>
      <c r="C75" s="27" t="s">
        <v>189</v>
      </c>
      <c r="D75" s="27" t="s">
        <v>57</v>
      </c>
      <c r="E75" s="29" t="s">
        <v>51</v>
      </c>
      <c r="F75" s="27" t="s">
        <v>20</v>
      </c>
      <c r="G75" s="30">
        <v>326</v>
      </c>
      <c r="H75" s="30">
        <v>68</v>
      </c>
      <c r="I75" s="30">
        <v>142.6</v>
      </c>
      <c r="J75" s="30">
        <v>1962</v>
      </c>
      <c r="K75" s="30">
        <v>4</v>
      </c>
      <c r="L75" s="31">
        <v>229.5</v>
      </c>
      <c r="M75" s="31">
        <f>IF(OR($K75="",$L75=""),"",ROUND('⚙️ SUPUESTOS'!$C$14*'⚙️ SUPUESTOS'!$C$18*SQRT($L75)*$K75,0))</f>
        <v>818</v>
      </c>
      <c r="N75" s="31">
        <v>1283</v>
      </c>
      <c r="O75" s="32">
        <v>41.64978</v>
      </c>
      <c r="P75" s="32">
        <v>-4.7101199999999999</v>
      </c>
    </row>
    <row r="76" spans="1:16" ht="15" customHeight="1">
      <c r="A76" s="21">
        <f>IF($B76="","",COUNTA($B$4:B76))</f>
        <v>73</v>
      </c>
      <c r="B76" s="22" t="s">
        <v>190</v>
      </c>
      <c r="C76" s="21" t="s">
        <v>191</v>
      </c>
      <c r="D76" s="21" t="s">
        <v>66</v>
      </c>
      <c r="E76" s="23" t="s">
        <v>51</v>
      </c>
      <c r="F76" s="21" t="s">
        <v>19</v>
      </c>
      <c r="G76" s="24">
        <v>429</v>
      </c>
      <c r="H76" s="24">
        <v>86.5</v>
      </c>
      <c r="I76" s="24">
        <v>186</v>
      </c>
      <c r="J76" s="24">
        <v>1965</v>
      </c>
      <c r="K76" s="24">
        <v>3</v>
      </c>
      <c r="L76" s="25">
        <v>48.2</v>
      </c>
      <c r="M76" s="25">
        <f>IF(OR($K76="",$L76=""),"",ROUND('⚙️ SUPUESTOS'!$C$14*'⚙️ SUPUESTOS'!$C$18*SQRT($L76)*$K76,0))</f>
        <v>281</v>
      </c>
      <c r="N76" s="25">
        <v>1409</v>
      </c>
      <c r="O76" s="26">
        <v>41.649509999999999</v>
      </c>
      <c r="P76" s="26">
        <v>-4.7072200000000004</v>
      </c>
    </row>
    <row r="77" spans="1:16" ht="15" customHeight="1">
      <c r="A77" s="27">
        <f>IF($B77="","",COUNTA($B$4:B77))</f>
        <v>74</v>
      </c>
      <c r="B77" s="28" t="s">
        <v>192</v>
      </c>
      <c r="C77" s="27" t="s">
        <v>193</v>
      </c>
      <c r="D77" s="27" t="s">
        <v>194</v>
      </c>
      <c r="E77" s="29" t="s">
        <v>51</v>
      </c>
      <c r="F77" s="27" t="s">
        <v>19</v>
      </c>
      <c r="G77" s="30">
        <v>504</v>
      </c>
      <c r="H77" s="30">
        <v>106</v>
      </c>
      <c r="I77" s="30">
        <v>258.10000000000002</v>
      </c>
      <c r="J77" s="30">
        <v>1965</v>
      </c>
      <c r="K77" s="30">
        <v>3</v>
      </c>
      <c r="L77" s="31">
        <v>113.7</v>
      </c>
      <c r="M77" s="31">
        <f>IF(OR($K77="",$L77=""),"",ROUND('⚙️ SUPUESTOS'!$C$14*'⚙️ SUPUESTOS'!$C$18*SQRT($L77)*$K77,0))</f>
        <v>432</v>
      </c>
      <c r="N77" s="31">
        <v>1440</v>
      </c>
      <c r="O77" s="32">
        <v>41.648130000000002</v>
      </c>
      <c r="P77" s="32">
        <v>-4.70878</v>
      </c>
    </row>
    <row r="78" spans="1:16" ht="15" customHeight="1">
      <c r="A78" s="21">
        <f>IF($B78="","",COUNTA($B$4:B78))</f>
        <v>75</v>
      </c>
      <c r="B78" s="22" t="s">
        <v>195</v>
      </c>
      <c r="C78" s="21" t="s">
        <v>196</v>
      </c>
      <c r="D78" s="21" t="s">
        <v>50</v>
      </c>
      <c r="E78" s="23" t="s">
        <v>51</v>
      </c>
      <c r="F78" s="21" t="s">
        <v>21</v>
      </c>
      <c r="G78" s="24">
        <v>154</v>
      </c>
      <c r="H78" s="24">
        <v>32</v>
      </c>
      <c r="I78" s="24">
        <v>85.4</v>
      </c>
      <c r="J78" s="24">
        <v>1965</v>
      </c>
      <c r="K78" s="24">
        <v>3</v>
      </c>
      <c r="L78" s="25">
        <v>111.7</v>
      </c>
      <c r="M78" s="25">
        <f>IF(OR($K78="",$L78=""),"",ROUND('⚙️ SUPUESTOS'!$C$14*'⚙️ SUPUESTOS'!$C$18*SQRT($L78)*$K78,0))</f>
        <v>428</v>
      </c>
      <c r="N78" s="25">
        <v>1551</v>
      </c>
      <c r="O78" s="26">
        <v>41.648760000000003</v>
      </c>
      <c r="P78" s="26">
        <v>-4.7091700000000003</v>
      </c>
    </row>
    <row r="79" spans="1:16" ht="15" customHeight="1">
      <c r="A79" s="27">
        <f>IF($B79="","",COUNTA($B$4:B79))</f>
        <v>76</v>
      </c>
      <c r="B79" s="28" t="s">
        <v>197</v>
      </c>
      <c r="C79" s="27" t="s">
        <v>198</v>
      </c>
      <c r="D79" s="27" t="s">
        <v>57</v>
      </c>
      <c r="E79" s="29" t="s">
        <v>51</v>
      </c>
      <c r="F79" s="27" t="s">
        <v>20</v>
      </c>
      <c r="G79" s="30">
        <v>299</v>
      </c>
      <c r="H79" s="30">
        <v>63</v>
      </c>
      <c r="I79" s="30">
        <v>128</v>
      </c>
      <c r="J79" s="30">
        <v>1965</v>
      </c>
      <c r="K79" s="30">
        <v>3</v>
      </c>
      <c r="L79" s="31">
        <v>100.7</v>
      </c>
      <c r="M79" s="31">
        <f>IF(OR($K79="",$L79=""),"",ROUND('⚙️ SUPUESTOS'!$C$14*'⚙️ SUPUESTOS'!$C$18*SQRT($L79)*$K79,0))</f>
        <v>406</v>
      </c>
      <c r="N79" s="31">
        <v>1400</v>
      </c>
      <c r="O79" s="32">
        <v>41.650120000000001</v>
      </c>
      <c r="P79" s="32">
        <v>-4.7086499999999996</v>
      </c>
    </row>
    <row r="80" spans="1:16" ht="15" customHeight="1">
      <c r="A80" s="21">
        <f>IF($B80="","",COUNTA($B$4:B80))</f>
        <v>77</v>
      </c>
      <c r="B80" s="22" t="s">
        <v>199</v>
      </c>
      <c r="C80" s="21" t="s">
        <v>200</v>
      </c>
      <c r="D80" s="21" t="s">
        <v>50</v>
      </c>
      <c r="E80" s="23" t="s">
        <v>51</v>
      </c>
      <c r="F80" s="21" t="s">
        <v>22</v>
      </c>
      <c r="G80" s="24">
        <v>143</v>
      </c>
      <c r="H80" s="24">
        <v>29.5</v>
      </c>
      <c r="I80" s="24">
        <v>55.7</v>
      </c>
      <c r="J80" s="24">
        <v>1965</v>
      </c>
      <c r="K80" s="24">
        <v>3</v>
      </c>
      <c r="L80" s="25">
        <v>95.5</v>
      </c>
      <c r="M80" s="25">
        <f>IF(OR($K80="",$L80=""),"",ROUND('⚙️ SUPUESTOS'!$C$14*'⚙️ SUPUESTOS'!$C$18*SQRT($L80)*$K80,0))</f>
        <v>396</v>
      </c>
      <c r="N80" s="25">
        <v>1569</v>
      </c>
      <c r="O80" s="26">
        <v>41.648470000000003</v>
      </c>
      <c r="P80" s="26">
        <v>-4.7095700000000003</v>
      </c>
    </row>
    <row r="81" spans="1:16" ht="15" customHeight="1">
      <c r="A81" s="27">
        <f>IF($B81="","",COUNTA($B$4:B81))</f>
        <v>78</v>
      </c>
      <c r="B81" s="28" t="s">
        <v>201</v>
      </c>
      <c r="C81" s="27" t="s">
        <v>202</v>
      </c>
      <c r="D81" s="27" t="s">
        <v>66</v>
      </c>
      <c r="E81" s="29" t="s">
        <v>51</v>
      </c>
      <c r="F81" s="27" t="s">
        <v>19</v>
      </c>
      <c r="G81" s="30">
        <v>404</v>
      </c>
      <c r="H81" s="30">
        <v>106</v>
      </c>
      <c r="I81" s="30">
        <v>240.5</v>
      </c>
      <c r="J81" s="30">
        <v>1965</v>
      </c>
      <c r="K81" s="30">
        <v>3</v>
      </c>
      <c r="L81" s="31">
        <v>98.8</v>
      </c>
      <c r="M81" s="31">
        <f>IF(OR($K81="",$L81=""),"",ROUND('⚙️ SUPUESTOS'!$C$14*'⚙️ SUPUESTOS'!$C$18*SQRT($L81)*$K81,0))</f>
        <v>403</v>
      </c>
      <c r="N81" s="31">
        <v>1375</v>
      </c>
      <c r="O81" s="32">
        <v>41.64958</v>
      </c>
      <c r="P81" s="32">
        <v>-4.7073700000000001</v>
      </c>
    </row>
    <row r="82" spans="1:16" ht="15" customHeight="1">
      <c r="A82" s="21">
        <f>IF($B82="","",COUNTA($B$4:B82))</f>
        <v>79</v>
      </c>
      <c r="B82" s="22" t="s">
        <v>203</v>
      </c>
      <c r="C82" s="21" t="s">
        <v>204</v>
      </c>
      <c r="D82" s="21" t="s">
        <v>57</v>
      </c>
      <c r="E82" s="23" t="s">
        <v>51</v>
      </c>
      <c r="F82" s="21" t="s">
        <v>21</v>
      </c>
      <c r="G82" s="24">
        <v>286</v>
      </c>
      <c r="H82" s="24">
        <v>55</v>
      </c>
      <c r="I82" s="24">
        <v>113.8</v>
      </c>
      <c r="J82" s="24">
        <v>1963</v>
      </c>
      <c r="K82" s="24">
        <v>4</v>
      </c>
      <c r="L82" s="25">
        <v>245</v>
      </c>
      <c r="M82" s="25">
        <f>IF(OR($K82="",$L82=""),"",ROUND('⚙️ SUPUESTOS'!$C$14*'⚙️ SUPUESTOS'!$C$18*SQRT($L82)*$K82,0))</f>
        <v>845</v>
      </c>
      <c r="N82" s="25">
        <v>1390</v>
      </c>
      <c r="O82" s="26">
        <v>41.64969</v>
      </c>
      <c r="P82" s="26">
        <v>-4.7099099999999998</v>
      </c>
    </row>
    <row r="83" spans="1:16" ht="15" customHeight="1">
      <c r="A83" s="27">
        <f>IF($B83="","",COUNTA($B$4:B83))</f>
        <v>80</v>
      </c>
      <c r="B83" s="28" t="s">
        <v>205</v>
      </c>
      <c r="C83" s="27" t="s">
        <v>206</v>
      </c>
      <c r="D83" s="27" t="s">
        <v>207</v>
      </c>
      <c r="E83" s="29" t="s">
        <v>51</v>
      </c>
      <c r="F83" s="27" t="s">
        <v>19</v>
      </c>
      <c r="G83" s="30">
        <v>354</v>
      </c>
      <c r="H83" s="30">
        <v>74.5</v>
      </c>
      <c r="I83" s="30">
        <v>159.30000000000001</v>
      </c>
      <c r="J83" s="30">
        <v>1966</v>
      </c>
      <c r="K83" s="30">
        <v>5</v>
      </c>
      <c r="L83" s="31">
        <v>704.9</v>
      </c>
      <c r="M83" s="31">
        <f>IF(OR($K83="",$L83=""),"",ROUND('⚙️ SUPUESTOS'!$C$14*'⚙️ SUPUESTOS'!$C$18*SQRT($L83)*$K83,0))</f>
        <v>1792</v>
      </c>
      <c r="N83" s="31">
        <v>1383</v>
      </c>
      <c r="O83" s="32">
        <v>41.64761</v>
      </c>
      <c r="P83" s="32">
        <v>-4.7094699999999996</v>
      </c>
    </row>
    <row r="84" spans="1:16" ht="15" customHeight="1">
      <c r="A84" s="21">
        <f>IF($B84="","",COUNTA($B$4:B84))</f>
        <v>81</v>
      </c>
      <c r="B84" s="22" t="s">
        <v>208</v>
      </c>
      <c r="C84" s="21" t="s">
        <v>209</v>
      </c>
      <c r="D84" s="21" t="s">
        <v>57</v>
      </c>
      <c r="E84" s="23" t="s">
        <v>51</v>
      </c>
      <c r="F84" s="21" t="s">
        <v>21</v>
      </c>
      <c r="G84" s="24">
        <v>276</v>
      </c>
      <c r="H84" s="24">
        <v>58</v>
      </c>
      <c r="I84" s="24">
        <v>140.19999999999999</v>
      </c>
      <c r="J84" s="24">
        <v>1965</v>
      </c>
      <c r="K84" s="24">
        <v>3</v>
      </c>
      <c r="L84" s="25">
        <v>111.3</v>
      </c>
      <c r="M84" s="25">
        <f>IF(OR($K84="",$L84=""),"",ROUND('⚙️ SUPUESTOS'!$C$14*'⚙️ SUPUESTOS'!$C$18*SQRT($L84)*$K84,0))</f>
        <v>427</v>
      </c>
      <c r="N84" s="25">
        <v>1444</v>
      </c>
      <c r="O84" s="26">
        <v>41.649180000000001</v>
      </c>
      <c r="P84" s="26">
        <v>-4.7086699999999997</v>
      </c>
    </row>
    <row r="85" spans="1:16" ht="15" customHeight="1">
      <c r="A85" s="27">
        <f>IF($B85="","",COUNTA($B$4:B85))</f>
        <v>82</v>
      </c>
      <c r="B85" s="28" t="s">
        <v>210</v>
      </c>
      <c r="C85" s="27" t="s">
        <v>211</v>
      </c>
      <c r="D85" s="27" t="s">
        <v>57</v>
      </c>
      <c r="E85" s="29" t="s">
        <v>51</v>
      </c>
      <c r="F85" s="27" t="s">
        <v>21</v>
      </c>
      <c r="G85" s="30">
        <v>273</v>
      </c>
      <c r="H85" s="30">
        <v>57.5</v>
      </c>
      <c r="I85" s="30">
        <v>134.30000000000001</v>
      </c>
      <c r="J85" s="30">
        <v>1964</v>
      </c>
      <c r="K85" s="30">
        <v>5</v>
      </c>
      <c r="L85" s="31">
        <v>263.89999999999998</v>
      </c>
      <c r="M85" s="31">
        <f>IF(OR($K85="",$L85=""),"",ROUND('⚙️ SUPUESTOS'!$C$14*'⚙️ SUPUESTOS'!$C$18*SQRT($L85)*$K85,0))</f>
        <v>1097</v>
      </c>
      <c r="N85" s="31">
        <v>1414</v>
      </c>
      <c r="O85" s="32">
        <v>41.65043</v>
      </c>
      <c r="P85" s="32">
        <v>-4.7104499999999998</v>
      </c>
    </row>
    <row r="86" spans="1:16" ht="15" customHeight="1">
      <c r="A86" s="21">
        <f>IF($B86="","",COUNTA($B$4:B86))</f>
        <v>83</v>
      </c>
      <c r="B86" s="22" t="s">
        <v>212</v>
      </c>
      <c r="C86" s="21" t="s">
        <v>213</v>
      </c>
      <c r="D86" s="21" t="s">
        <v>57</v>
      </c>
      <c r="E86" s="23" t="s">
        <v>51</v>
      </c>
      <c r="F86" s="21" t="s">
        <v>21</v>
      </c>
      <c r="G86" s="24">
        <v>273</v>
      </c>
      <c r="H86" s="24">
        <v>56.5</v>
      </c>
      <c r="I86" s="24">
        <v>165.7</v>
      </c>
      <c r="J86" s="24">
        <v>1964</v>
      </c>
      <c r="K86" s="24">
        <v>4</v>
      </c>
      <c r="L86" s="25">
        <v>305</v>
      </c>
      <c r="M86" s="25">
        <f>IF(OR($K86="",$L86=""),"",ROUND('⚙️ SUPUESTOS'!$C$14*'⚙️ SUPUESTOS'!$C$18*SQRT($L86)*$K86,0))</f>
        <v>943</v>
      </c>
      <c r="N86" s="25">
        <v>1403</v>
      </c>
      <c r="O86" s="26">
        <v>41.650190000000002</v>
      </c>
      <c r="P86" s="26">
        <v>-4.7104699999999999</v>
      </c>
    </row>
    <row r="87" spans="1:16" ht="15" customHeight="1">
      <c r="A87" s="27">
        <f>IF($B87="","",COUNTA($B$4:B87))</f>
        <v>84</v>
      </c>
      <c r="B87" s="28" t="s">
        <v>214</v>
      </c>
      <c r="C87" s="27" t="s">
        <v>215</v>
      </c>
      <c r="D87" s="27" t="s">
        <v>57</v>
      </c>
      <c r="E87" s="29" t="s">
        <v>51</v>
      </c>
      <c r="F87" s="27" t="s">
        <v>21</v>
      </c>
      <c r="G87" s="30">
        <v>272</v>
      </c>
      <c r="H87" s="30">
        <v>57</v>
      </c>
      <c r="I87" s="30">
        <v>191.5</v>
      </c>
      <c r="J87" s="30">
        <v>1965</v>
      </c>
      <c r="K87" s="30">
        <v>3</v>
      </c>
      <c r="L87" s="31">
        <v>99.7</v>
      </c>
      <c r="M87" s="31">
        <f>IF(OR($K87="",$L87=""),"",ROUND('⚙️ SUPUESTOS'!$C$14*'⚙️ SUPUESTOS'!$C$18*SQRT($L87)*$K87,0))</f>
        <v>404</v>
      </c>
      <c r="N87" s="31">
        <v>1379</v>
      </c>
      <c r="O87" s="32">
        <v>41.649299999999997</v>
      </c>
      <c r="P87" s="32">
        <v>-4.7084799999999998</v>
      </c>
    </row>
    <row r="88" spans="1:16" ht="15" customHeight="1">
      <c r="A88" s="21">
        <f>IF($B88="","",COUNTA($B$4:B88))</f>
        <v>85</v>
      </c>
      <c r="B88" s="22" t="s">
        <v>216</v>
      </c>
      <c r="C88" s="21" t="s">
        <v>123</v>
      </c>
      <c r="D88" s="21" t="s">
        <v>124</v>
      </c>
      <c r="E88" s="23" t="s">
        <v>51</v>
      </c>
      <c r="F88" s="21" t="s">
        <v>19</v>
      </c>
      <c r="G88" s="24">
        <v>336</v>
      </c>
      <c r="H88" s="24">
        <v>68</v>
      </c>
      <c r="I88" s="24">
        <v>181.9</v>
      </c>
      <c r="J88" s="24">
        <v>1969</v>
      </c>
      <c r="K88" s="24">
        <v>6</v>
      </c>
      <c r="L88" s="25">
        <v>193.8</v>
      </c>
      <c r="M88" s="25">
        <f>IF(OR($K88="",$L88=""),"",ROUND('⚙️ SUPUESTOS'!$C$14*'⚙️ SUPUESTOS'!$C$18*SQRT($L88)*$K88,0))</f>
        <v>1128</v>
      </c>
      <c r="N88" s="25">
        <v>1454</v>
      </c>
      <c r="O88" s="26">
        <v>41.647629000000002</v>
      </c>
      <c r="P88" s="26">
        <v>-4.711328</v>
      </c>
    </row>
    <row r="89" spans="1:16" ht="15" customHeight="1">
      <c r="A89" s="27">
        <f>IF($B89="","",COUNTA($B$4:B89))</f>
        <v>86</v>
      </c>
      <c r="B89" s="28" t="s">
        <v>217</v>
      </c>
      <c r="C89" s="27" t="s">
        <v>211</v>
      </c>
      <c r="D89" s="27" t="s">
        <v>57</v>
      </c>
      <c r="E89" s="29" t="s">
        <v>51</v>
      </c>
      <c r="F89" s="27" t="s">
        <v>21</v>
      </c>
      <c r="G89" s="30">
        <v>270</v>
      </c>
      <c r="H89" s="30">
        <v>57.5</v>
      </c>
      <c r="I89" s="30">
        <v>143.19999999999999</v>
      </c>
      <c r="J89" s="30">
        <v>1964</v>
      </c>
      <c r="K89" s="30">
        <v>5</v>
      </c>
      <c r="L89" s="31">
        <v>263.89999999999998</v>
      </c>
      <c r="M89" s="31">
        <f>IF(OR($K89="",$L89=""),"",ROUND('⚙️ SUPUESTOS'!$C$14*'⚙️ SUPUESTOS'!$C$18*SQRT($L89)*$K89,0))</f>
        <v>1097</v>
      </c>
      <c r="N89" s="31">
        <v>1414</v>
      </c>
      <c r="O89" s="32">
        <v>41.650640000000003</v>
      </c>
      <c r="P89" s="32">
        <v>-4.7103000000000002</v>
      </c>
    </row>
    <row r="90" spans="1:16" ht="15" customHeight="1">
      <c r="A90" s="21">
        <f>IF($B90="","",COUNTA($B$4:B90))</f>
        <v>87</v>
      </c>
      <c r="B90" s="22" t="s">
        <v>218</v>
      </c>
      <c r="C90" s="21" t="s">
        <v>123</v>
      </c>
      <c r="D90" s="21" t="s">
        <v>124</v>
      </c>
      <c r="E90" s="23" t="s">
        <v>51</v>
      </c>
      <c r="F90" s="21" t="s">
        <v>19</v>
      </c>
      <c r="G90" s="24">
        <v>334</v>
      </c>
      <c r="H90" s="24">
        <v>71</v>
      </c>
      <c r="I90" s="24">
        <v>165.3</v>
      </c>
      <c r="J90" s="24">
        <v>1969</v>
      </c>
      <c r="K90" s="24">
        <v>6</v>
      </c>
      <c r="L90" s="25">
        <v>193.8</v>
      </c>
      <c r="M90" s="25">
        <f>IF(OR($K90="",$L90=""),"",ROUND('⚙️ SUPUESTOS'!$C$14*'⚙️ SUPUESTOS'!$C$18*SQRT($L90)*$K90,0))</f>
        <v>1128</v>
      </c>
      <c r="N90" s="25">
        <v>1454</v>
      </c>
      <c r="O90" s="26">
        <v>41.647863999999998</v>
      </c>
      <c r="P90" s="26">
        <v>-4.711017</v>
      </c>
    </row>
    <row r="91" spans="1:16" ht="15" customHeight="1">
      <c r="A91" s="27">
        <f>IF($B91="","",COUNTA($B$4:B91))</f>
        <v>88</v>
      </c>
      <c r="B91" s="28" t="s">
        <v>219</v>
      </c>
      <c r="C91" s="27" t="s">
        <v>220</v>
      </c>
      <c r="D91" s="27" t="s">
        <v>57</v>
      </c>
      <c r="E91" s="29" t="s">
        <v>51</v>
      </c>
      <c r="F91" s="27" t="s">
        <v>21</v>
      </c>
      <c r="G91" s="30">
        <v>268</v>
      </c>
      <c r="H91" s="30">
        <v>57</v>
      </c>
      <c r="I91" s="30">
        <v>132.4</v>
      </c>
      <c r="J91" s="30">
        <v>1965</v>
      </c>
      <c r="K91" s="30">
        <v>5</v>
      </c>
      <c r="L91" s="31">
        <v>381.2</v>
      </c>
      <c r="M91" s="31">
        <f>IF(OR($K91="",$L91=""),"",ROUND('⚙️ SUPUESTOS'!$C$14*'⚙️ SUPUESTOS'!$C$18*SQRT($L91)*$K91,0))</f>
        <v>1318</v>
      </c>
      <c r="N91" s="31">
        <v>1370</v>
      </c>
      <c r="O91" s="32">
        <v>41.650730000000003</v>
      </c>
      <c r="P91" s="32">
        <v>-4.7097899999999999</v>
      </c>
    </row>
    <row r="92" spans="1:16" ht="15" customHeight="1">
      <c r="A92" s="21">
        <f>IF($B92="","",COUNTA($B$4:B92))</f>
        <v>89</v>
      </c>
      <c r="B92" s="22" t="s">
        <v>221</v>
      </c>
      <c r="C92" s="21" t="s">
        <v>222</v>
      </c>
      <c r="D92" s="21" t="s">
        <v>207</v>
      </c>
      <c r="E92" s="23" t="s">
        <v>51</v>
      </c>
      <c r="F92" s="21" t="s">
        <v>20</v>
      </c>
      <c r="G92" s="24">
        <v>334</v>
      </c>
      <c r="H92" s="24">
        <v>64</v>
      </c>
      <c r="I92" s="24">
        <v>177.1</v>
      </c>
      <c r="J92" s="24">
        <v>1965</v>
      </c>
      <c r="K92" s="24">
        <v>5</v>
      </c>
      <c r="L92" s="25">
        <v>150</v>
      </c>
      <c r="M92" s="25">
        <f>IF(OR($K92="",$L92=""),"",ROUND('⚙️ SUPUESTOS'!$C$14*'⚙️ SUPUESTOS'!$C$18*SQRT($L92)*$K92,0))</f>
        <v>827</v>
      </c>
      <c r="N92" s="25">
        <v>1388</v>
      </c>
      <c r="O92" s="26">
        <v>41.647799999999997</v>
      </c>
      <c r="P92" s="26">
        <v>-4.7093400000000001</v>
      </c>
    </row>
    <row r="93" spans="1:16" ht="15" customHeight="1">
      <c r="A93" s="27">
        <f>IF($B93="","",COUNTA($B$4:B93))</f>
        <v>90</v>
      </c>
      <c r="B93" s="28" t="s">
        <v>223</v>
      </c>
      <c r="C93" s="27" t="s">
        <v>224</v>
      </c>
      <c r="D93" s="27" t="s">
        <v>57</v>
      </c>
      <c r="E93" s="29" t="s">
        <v>51</v>
      </c>
      <c r="F93" s="27" t="s">
        <v>21</v>
      </c>
      <c r="G93" s="30">
        <v>264</v>
      </c>
      <c r="H93" s="30">
        <v>55.5</v>
      </c>
      <c r="I93" s="30">
        <v>143</v>
      </c>
      <c r="J93" s="30">
        <v>1976</v>
      </c>
      <c r="K93" s="30">
        <v>6</v>
      </c>
      <c r="L93" s="31">
        <v>283.89999999999998</v>
      </c>
      <c r="M93" s="31">
        <f>IF(OR($K93="",$L93=""),"",ROUND('⚙️ SUPUESTOS'!$C$14*'⚙️ SUPUESTOS'!$C$18*SQRT($L93)*$K93,0))</f>
        <v>1365</v>
      </c>
      <c r="N93" s="31">
        <v>1410</v>
      </c>
      <c r="O93" s="32">
        <v>41.650530000000003</v>
      </c>
      <c r="P93" s="32">
        <v>-4.7087500000000002</v>
      </c>
    </row>
    <row r="94" spans="1:16" ht="15" customHeight="1">
      <c r="A94" s="21">
        <f>IF($B94="","",COUNTA($B$4:B94))</f>
        <v>91</v>
      </c>
      <c r="B94" s="22" t="s">
        <v>225</v>
      </c>
      <c r="C94" s="21" t="s">
        <v>226</v>
      </c>
      <c r="D94" s="21" t="s">
        <v>124</v>
      </c>
      <c r="E94" s="23" t="s">
        <v>51</v>
      </c>
      <c r="F94" s="21" t="s">
        <v>19</v>
      </c>
      <c r="G94" s="24">
        <v>328</v>
      </c>
      <c r="H94" s="24">
        <v>59.5</v>
      </c>
      <c r="I94" s="24">
        <v>141.69999999999999</v>
      </c>
      <c r="J94" s="24">
        <v>1963</v>
      </c>
      <c r="K94" s="24">
        <v>5</v>
      </c>
      <c r="L94" s="25">
        <v>157</v>
      </c>
      <c r="M94" s="25">
        <f>IF(OR($K94="",$L94=""),"",ROUND('⚙️ SUPUESTOS'!$C$14*'⚙️ SUPUESTOS'!$C$18*SQRT($L94)*$K94,0))</f>
        <v>846</v>
      </c>
      <c r="N94" s="25">
        <v>1464</v>
      </c>
      <c r="O94" s="26">
        <v>41.648409999999998</v>
      </c>
      <c r="P94" s="26">
        <v>-4.71007</v>
      </c>
    </row>
    <row r="95" spans="1:16" ht="15" customHeight="1">
      <c r="A95" s="27">
        <f>IF($B95="","",COUNTA($B$4:B95))</f>
        <v>92</v>
      </c>
      <c r="B95" s="28" t="s">
        <v>227</v>
      </c>
      <c r="C95" s="27" t="s">
        <v>228</v>
      </c>
      <c r="D95" s="27" t="s">
        <v>57</v>
      </c>
      <c r="E95" s="29" t="s">
        <v>51</v>
      </c>
      <c r="F95" s="27" t="s">
        <v>21</v>
      </c>
      <c r="G95" s="30">
        <v>258</v>
      </c>
      <c r="H95" s="30">
        <v>54</v>
      </c>
      <c r="I95" s="30">
        <v>125</v>
      </c>
      <c r="J95" s="30">
        <v>1966</v>
      </c>
      <c r="K95" s="30">
        <v>5</v>
      </c>
      <c r="L95" s="31">
        <v>496.9</v>
      </c>
      <c r="M95" s="31">
        <f>IF(OR($K95="",$L95=""),"",ROUND('⚙️ SUPUESTOS'!$C$14*'⚙️ SUPUESTOS'!$C$18*SQRT($L95)*$K95,0))</f>
        <v>1505</v>
      </c>
      <c r="N95" s="31">
        <v>1452</v>
      </c>
      <c r="O95" s="32">
        <v>41.649569999999997</v>
      </c>
      <c r="P95" s="32">
        <v>-4.7096400000000003</v>
      </c>
    </row>
    <row r="96" spans="1:16" ht="15" customHeight="1">
      <c r="A96" s="21">
        <f>IF($B96="","",COUNTA($B$4:B96))</f>
        <v>93</v>
      </c>
      <c r="B96" s="22" t="s">
        <v>229</v>
      </c>
      <c r="C96" s="21" t="s">
        <v>230</v>
      </c>
      <c r="D96" s="21" t="s">
        <v>124</v>
      </c>
      <c r="E96" s="23" t="s">
        <v>51</v>
      </c>
      <c r="F96" s="21" t="s">
        <v>21</v>
      </c>
      <c r="G96" s="24">
        <v>321</v>
      </c>
      <c r="H96" s="24">
        <v>68</v>
      </c>
      <c r="I96" s="24">
        <v>156.6</v>
      </c>
      <c r="J96" s="24">
        <v>1969</v>
      </c>
      <c r="K96" s="24">
        <v>6</v>
      </c>
      <c r="L96" s="25">
        <v>312.8</v>
      </c>
      <c r="M96" s="25">
        <f>IF(OR($K96="",$L96=""),"",ROUND('⚙️ SUPUESTOS'!$C$14*'⚙️ SUPUESTOS'!$C$18*SQRT($L96)*$K96,0))</f>
        <v>1433</v>
      </c>
      <c r="N96" s="25">
        <v>1458</v>
      </c>
      <c r="O96" s="26">
        <v>41.6479</v>
      </c>
      <c r="P96" s="26">
        <v>-4.7117300000000002</v>
      </c>
    </row>
    <row r="97" spans="1:16" ht="15" customHeight="1">
      <c r="A97" s="27">
        <f>IF($B97="","",COUNTA($B$4:B97))</f>
        <v>94</v>
      </c>
      <c r="B97" s="28" t="s">
        <v>231</v>
      </c>
      <c r="C97" s="27" t="s">
        <v>187</v>
      </c>
      <c r="D97" s="27" t="s">
        <v>124</v>
      </c>
      <c r="E97" s="29" t="s">
        <v>51</v>
      </c>
      <c r="F97" s="27" t="s">
        <v>20</v>
      </c>
      <c r="G97" s="30">
        <v>320</v>
      </c>
      <c r="H97" s="30">
        <v>67</v>
      </c>
      <c r="I97" s="30">
        <v>162.80000000000001</v>
      </c>
      <c r="J97" s="30">
        <v>1969</v>
      </c>
      <c r="K97" s="30">
        <v>6</v>
      </c>
      <c r="L97" s="31">
        <v>271.8</v>
      </c>
      <c r="M97" s="31">
        <f>IF(OR($K97="",$L97=""),"",ROUND('⚙️ SUPUESTOS'!$C$14*'⚙️ SUPUESTOS'!$C$18*SQRT($L97)*$K97,0))</f>
        <v>1335</v>
      </c>
      <c r="N97" s="31">
        <v>1426</v>
      </c>
      <c r="O97" s="32">
        <v>41.648240000000001</v>
      </c>
      <c r="P97" s="32">
        <v>-4.7120699999999998</v>
      </c>
    </row>
    <row r="98" spans="1:16" ht="15" customHeight="1">
      <c r="A98" s="21">
        <f>IF($B98="","",COUNTA($B$4:B98))</f>
        <v>95</v>
      </c>
      <c r="B98" s="22" t="s">
        <v>232</v>
      </c>
      <c r="C98" s="21" t="s">
        <v>233</v>
      </c>
      <c r="D98" s="21" t="s">
        <v>57</v>
      </c>
      <c r="E98" s="23" t="s">
        <v>51</v>
      </c>
      <c r="F98" s="21" t="s">
        <v>21</v>
      </c>
      <c r="G98" s="24">
        <v>250</v>
      </c>
      <c r="H98" s="24">
        <v>45</v>
      </c>
      <c r="I98" s="24">
        <v>84.5</v>
      </c>
      <c r="J98" s="24">
        <v>1984</v>
      </c>
      <c r="K98" s="24">
        <v>6</v>
      </c>
      <c r="L98" s="25">
        <v>498.1</v>
      </c>
      <c r="M98" s="25">
        <f>IF(OR($K98="",$L98=""),"",ROUND('⚙️ SUPUESTOS'!$C$14*'⚙️ SUPUESTOS'!$C$18*SQRT($L98)*$K98,0))</f>
        <v>1808</v>
      </c>
      <c r="N98" s="25">
        <v>1524</v>
      </c>
      <c r="O98" s="26">
        <v>41.650460000000002</v>
      </c>
      <c r="P98" s="26">
        <v>-4.7092900000000002</v>
      </c>
    </row>
    <row r="99" spans="1:16" ht="15" customHeight="1">
      <c r="A99" s="27">
        <f>IF($B99="","",COUNTA($B$4:B99))</f>
        <v>96</v>
      </c>
      <c r="B99" s="28" t="s">
        <v>234</v>
      </c>
      <c r="C99" s="27" t="s">
        <v>235</v>
      </c>
      <c r="D99" s="27" t="s">
        <v>57</v>
      </c>
      <c r="E99" s="29" t="s">
        <v>51</v>
      </c>
      <c r="F99" s="27" t="s">
        <v>21</v>
      </c>
      <c r="G99" s="30">
        <v>246</v>
      </c>
      <c r="H99" s="30">
        <v>52</v>
      </c>
      <c r="I99" s="30">
        <v>117.7</v>
      </c>
      <c r="J99" s="30">
        <v>1967</v>
      </c>
      <c r="K99" s="30">
        <v>5</v>
      </c>
      <c r="L99" s="31">
        <v>1132.4000000000001</v>
      </c>
      <c r="M99" s="31">
        <f>IF(OR($K99="",$L99=""),"",ROUND('⚙️ SUPUESTOS'!$C$14*'⚙️ SUPUESTOS'!$C$18*SQRT($L99)*$K99,0))</f>
        <v>2271</v>
      </c>
      <c r="N99" s="31">
        <v>1500</v>
      </c>
      <c r="O99" s="32">
        <v>41.650669999999998</v>
      </c>
      <c r="P99" s="32">
        <v>-4.70953</v>
      </c>
    </row>
    <row r="100" spans="1:16" ht="15" customHeight="1">
      <c r="A100" s="21">
        <f>IF($B100="","",COUNTA($B$4:B100))</f>
        <v>97</v>
      </c>
      <c r="B100" s="22" t="s">
        <v>236</v>
      </c>
      <c r="C100" s="21" t="s">
        <v>237</v>
      </c>
      <c r="D100" s="21" t="s">
        <v>207</v>
      </c>
      <c r="E100" s="23" t="s">
        <v>51</v>
      </c>
      <c r="F100" s="21" t="s">
        <v>20</v>
      </c>
      <c r="G100" s="24">
        <v>313</v>
      </c>
      <c r="H100" s="24">
        <v>66</v>
      </c>
      <c r="I100" s="24">
        <v>155.9</v>
      </c>
      <c r="J100" s="24">
        <v>1968</v>
      </c>
      <c r="K100" s="24">
        <v>6</v>
      </c>
      <c r="L100" s="25">
        <v>182.8</v>
      </c>
      <c r="M100" s="25">
        <f>IF(OR($K100="",$L100=""),"",ROUND('⚙️ SUPUESTOS'!$C$14*'⚙️ SUPUESTOS'!$C$18*SQRT($L100)*$K100,0))</f>
        <v>1095</v>
      </c>
      <c r="N100" s="25">
        <v>1436</v>
      </c>
      <c r="O100" s="26">
        <v>41.647100000000002</v>
      </c>
      <c r="P100" s="26">
        <v>-4.7100999999999997</v>
      </c>
    </row>
    <row r="101" spans="1:16" ht="15" customHeight="1">
      <c r="A101" s="27">
        <f>IF($B101="","",COUNTA($B$4:B101))</f>
        <v>98</v>
      </c>
      <c r="B101" s="28" t="s">
        <v>238</v>
      </c>
      <c r="C101" s="27" t="s">
        <v>239</v>
      </c>
      <c r="D101" s="27" t="s">
        <v>57</v>
      </c>
      <c r="E101" s="29" t="s">
        <v>51</v>
      </c>
      <c r="F101" s="27" t="s">
        <v>21</v>
      </c>
      <c r="G101" s="30">
        <v>234</v>
      </c>
      <c r="H101" s="30">
        <v>49</v>
      </c>
      <c r="I101" s="30">
        <v>99.3</v>
      </c>
      <c r="J101" s="30">
        <v>1967</v>
      </c>
      <c r="K101" s="30">
        <v>5</v>
      </c>
      <c r="L101" s="31">
        <v>509.1</v>
      </c>
      <c r="M101" s="31">
        <f>IF(OR($K101="",$L101=""),"",ROUND('⚙️ SUPUESTOS'!$C$14*'⚙️ SUPUESTOS'!$C$18*SQRT($L101)*$K101,0))</f>
        <v>1523</v>
      </c>
      <c r="N101" s="31">
        <v>1506</v>
      </c>
      <c r="O101" s="32">
        <v>41.649900000000002</v>
      </c>
      <c r="P101" s="32">
        <v>-4.7092099999999997</v>
      </c>
    </row>
    <row r="102" spans="1:16" ht="15" customHeight="1">
      <c r="A102" s="21">
        <f>IF($B102="","",COUNTA($B$4:B102))</f>
        <v>99</v>
      </c>
      <c r="B102" s="22" t="s">
        <v>240</v>
      </c>
      <c r="C102" s="21" t="s">
        <v>226</v>
      </c>
      <c r="D102" s="21" t="s">
        <v>124</v>
      </c>
      <c r="E102" s="23" t="s">
        <v>51</v>
      </c>
      <c r="F102" s="21" t="s">
        <v>19</v>
      </c>
      <c r="G102" s="24">
        <v>297</v>
      </c>
      <c r="H102" s="24">
        <v>62.5</v>
      </c>
      <c r="I102" s="24">
        <v>149.6</v>
      </c>
      <c r="J102" s="24">
        <v>1963</v>
      </c>
      <c r="K102" s="24">
        <v>5</v>
      </c>
      <c r="L102" s="25">
        <v>157</v>
      </c>
      <c r="M102" s="25">
        <f>IF(OR($K102="",$L102=""),"",ROUND('⚙️ SUPUESTOS'!$C$14*'⚙️ SUPUESTOS'!$C$18*SQRT($L102)*$K102,0))</f>
        <v>846</v>
      </c>
      <c r="N102" s="25">
        <v>1464</v>
      </c>
      <c r="O102" s="26">
        <v>41.647959999999998</v>
      </c>
      <c r="P102" s="26">
        <v>-4.7099799999999998</v>
      </c>
    </row>
    <row r="103" spans="1:16" ht="15" customHeight="1">
      <c r="A103" s="27">
        <f>IF($B103="","",COUNTA($B$4:B103))</f>
        <v>100</v>
      </c>
      <c r="B103" s="28" t="s">
        <v>241</v>
      </c>
      <c r="C103" s="27" t="s">
        <v>242</v>
      </c>
      <c r="D103" s="27" t="s">
        <v>207</v>
      </c>
      <c r="E103" s="29" t="s">
        <v>51</v>
      </c>
      <c r="F103" s="27" t="s">
        <v>20</v>
      </c>
      <c r="G103" s="30">
        <v>301</v>
      </c>
      <c r="H103" s="30">
        <v>63</v>
      </c>
      <c r="I103" s="30">
        <v>154.4</v>
      </c>
      <c r="J103" s="30">
        <v>1967</v>
      </c>
      <c r="K103" s="30">
        <v>5</v>
      </c>
      <c r="L103" s="31">
        <v>469.5</v>
      </c>
      <c r="M103" s="31">
        <f>IF(OR($K103="",$L103=""),"",ROUND('⚙️ SUPUESTOS'!$C$14*'⚙️ SUPUESTOS'!$C$18*SQRT($L103)*$K103,0))</f>
        <v>1463</v>
      </c>
      <c r="N103" s="31">
        <v>1248</v>
      </c>
      <c r="O103" s="32">
        <v>41.647674000000002</v>
      </c>
      <c r="P103" s="32">
        <v>-4.7100369999999998</v>
      </c>
    </row>
    <row r="104" spans="1:16" ht="15" customHeight="1">
      <c r="A104" s="21">
        <f>IF($B104="","",COUNTA($B$4:B104))</f>
        <v>101</v>
      </c>
      <c r="B104" s="22" t="s">
        <v>243</v>
      </c>
      <c r="C104" s="21" t="s">
        <v>226</v>
      </c>
      <c r="D104" s="21" t="s">
        <v>124</v>
      </c>
      <c r="E104" s="23" t="s">
        <v>51</v>
      </c>
      <c r="F104" s="21" t="s">
        <v>20</v>
      </c>
      <c r="G104" s="24">
        <v>296</v>
      </c>
      <c r="H104" s="24">
        <v>62</v>
      </c>
      <c r="I104" s="24">
        <v>159.19999999999999</v>
      </c>
      <c r="J104" s="24">
        <v>1963</v>
      </c>
      <c r="K104" s="24">
        <v>5</v>
      </c>
      <c r="L104" s="25">
        <v>157</v>
      </c>
      <c r="M104" s="25">
        <f>IF(OR($K104="",$L104=""),"",ROUND('⚙️ SUPUESTOS'!$C$14*'⚙️ SUPUESTOS'!$C$18*SQRT($L104)*$K104,0))</f>
        <v>846</v>
      </c>
      <c r="N104" s="25">
        <v>1464</v>
      </c>
      <c r="O104" s="26">
        <v>41.647989000000003</v>
      </c>
      <c r="P104" s="26">
        <v>-4.7103260000000002</v>
      </c>
    </row>
    <row r="105" spans="1:16" ht="15" customHeight="1">
      <c r="A105" s="27">
        <f>IF($B105="","",COUNTA($B$4:B105))</f>
        <v>102</v>
      </c>
      <c r="B105" s="28" t="s">
        <v>244</v>
      </c>
      <c r="C105" s="27" t="s">
        <v>245</v>
      </c>
      <c r="D105" s="27" t="s">
        <v>207</v>
      </c>
      <c r="E105" s="29" t="s">
        <v>51</v>
      </c>
      <c r="F105" s="27" t="s">
        <v>20</v>
      </c>
      <c r="G105" s="30">
        <v>299</v>
      </c>
      <c r="H105" s="30">
        <v>63</v>
      </c>
      <c r="I105" s="30">
        <v>158.30000000000001</v>
      </c>
      <c r="J105" s="30">
        <v>1967</v>
      </c>
      <c r="K105" s="30">
        <v>6</v>
      </c>
      <c r="L105" s="31">
        <v>368.9</v>
      </c>
      <c r="M105" s="31">
        <f>IF(OR($K105="",$L105=""),"",ROUND('⚙️ SUPUESTOS'!$C$14*'⚙️ SUPUESTOS'!$C$18*SQRT($L105)*$K105,0))</f>
        <v>1556</v>
      </c>
      <c r="N105" s="31">
        <v>1369</v>
      </c>
      <c r="O105" s="32">
        <v>41.647799999999997</v>
      </c>
      <c r="P105" s="32">
        <v>-4.7099399999999996</v>
      </c>
    </row>
    <row r="106" spans="1:16" ht="15" customHeight="1">
      <c r="A106" s="21">
        <f>IF($B106="","",COUNTA($B$4:B106))</f>
        <v>103</v>
      </c>
      <c r="B106" s="22" t="s">
        <v>246</v>
      </c>
      <c r="C106" s="21" t="s">
        <v>247</v>
      </c>
      <c r="D106" s="21" t="s">
        <v>57</v>
      </c>
      <c r="E106" s="23" t="s">
        <v>51</v>
      </c>
      <c r="F106" s="21" t="s">
        <v>20</v>
      </c>
      <c r="G106" s="24">
        <v>229</v>
      </c>
      <c r="H106" s="24">
        <v>48</v>
      </c>
      <c r="I106" s="24">
        <v>123.9</v>
      </c>
      <c r="J106" s="24">
        <v>1965</v>
      </c>
      <c r="K106" s="24">
        <v>3</v>
      </c>
      <c r="L106" s="25">
        <v>97.9</v>
      </c>
      <c r="M106" s="25">
        <f>IF(OR($K106="",$L106=""),"",ROUND('⚙️ SUPUESTOS'!$C$14*'⚙️ SUPUESTOS'!$C$18*SQRT($L106)*$K106,0))</f>
        <v>401</v>
      </c>
      <c r="N106" s="25">
        <v>1338</v>
      </c>
      <c r="O106" s="26">
        <v>41.649299999999997</v>
      </c>
      <c r="P106" s="26">
        <v>-4.7081</v>
      </c>
    </row>
    <row r="107" spans="1:16" ht="15" customHeight="1">
      <c r="A107" s="27">
        <f>IF($B107="","",COUNTA($B$4:B107))</f>
        <v>104</v>
      </c>
      <c r="B107" s="28" t="s">
        <v>248</v>
      </c>
      <c r="C107" s="27" t="s">
        <v>226</v>
      </c>
      <c r="D107" s="27" t="s">
        <v>124</v>
      </c>
      <c r="E107" s="29" t="s">
        <v>51</v>
      </c>
      <c r="F107" s="27" t="s">
        <v>20</v>
      </c>
      <c r="G107" s="30">
        <v>293</v>
      </c>
      <c r="H107" s="30">
        <v>62</v>
      </c>
      <c r="I107" s="30">
        <v>150.69999999999999</v>
      </c>
      <c r="J107" s="30">
        <v>1963</v>
      </c>
      <c r="K107" s="30">
        <v>5</v>
      </c>
      <c r="L107" s="31">
        <v>157</v>
      </c>
      <c r="M107" s="31">
        <f>IF(OR($K107="",$L107=""),"",ROUND('⚙️ SUPUESTOS'!$C$14*'⚙️ SUPUESTOS'!$C$18*SQRT($L107)*$K107,0))</f>
        <v>846</v>
      </c>
      <c r="N107" s="31">
        <v>1464</v>
      </c>
      <c r="O107" s="32">
        <v>41.648164000000001</v>
      </c>
      <c r="P107" s="32">
        <v>-4.7102300000000001</v>
      </c>
    </row>
    <row r="108" spans="1:16" ht="15" customHeight="1">
      <c r="A108" s="21">
        <f>IF($B108="","",COUNTA($B$4:B108))</f>
        <v>105</v>
      </c>
      <c r="B108" s="22" t="s">
        <v>249</v>
      </c>
      <c r="C108" s="21" t="s">
        <v>250</v>
      </c>
      <c r="D108" s="21" t="s">
        <v>66</v>
      </c>
      <c r="E108" s="23" t="s">
        <v>51</v>
      </c>
      <c r="F108" s="21" t="s">
        <v>19</v>
      </c>
      <c r="G108" s="24">
        <v>344</v>
      </c>
      <c r="H108" s="24">
        <v>73</v>
      </c>
      <c r="I108" s="24">
        <v>147.19999999999999</v>
      </c>
      <c r="J108" s="24">
        <v>1965</v>
      </c>
      <c r="K108" s="24">
        <v>3</v>
      </c>
      <c r="L108" s="25">
        <v>115.6</v>
      </c>
      <c r="M108" s="25">
        <f>IF(OR($K108="",$L108=""),"",ROUND('⚙️ SUPUESTOS'!$C$14*'⚙️ SUPUESTOS'!$C$18*SQRT($L108)*$K108,0))</f>
        <v>435</v>
      </c>
      <c r="N108" s="25">
        <v>1374</v>
      </c>
      <c r="O108" s="26">
        <v>41.649290000000001</v>
      </c>
      <c r="P108" s="26">
        <v>-4.70777</v>
      </c>
    </row>
    <row r="109" spans="1:16" ht="15" customHeight="1">
      <c r="A109" s="27">
        <f>IF($B109="","",COUNTA($B$4:B109))</f>
        <v>106</v>
      </c>
      <c r="B109" s="28" t="s">
        <v>251</v>
      </c>
      <c r="C109" s="27" t="s">
        <v>252</v>
      </c>
      <c r="D109" s="27" t="s">
        <v>66</v>
      </c>
      <c r="E109" s="29" t="s">
        <v>51</v>
      </c>
      <c r="F109" s="27" t="s">
        <v>19</v>
      </c>
      <c r="G109" s="30">
        <v>341</v>
      </c>
      <c r="H109" s="30">
        <v>71.5</v>
      </c>
      <c r="I109" s="30">
        <v>164.9</v>
      </c>
      <c r="J109" s="30">
        <v>1965</v>
      </c>
      <c r="K109" s="30">
        <v>3</v>
      </c>
      <c r="L109" s="31">
        <v>101.3</v>
      </c>
      <c r="M109" s="31">
        <f>IF(OR($K109="",$L109=""),"",ROUND('⚙️ SUPUESTOS'!$C$14*'⚙️ SUPUESTOS'!$C$18*SQRT($L109)*$K109,0))</f>
        <v>408</v>
      </c>
      <c r="N109" s="31">
        <v>1462</v>
      </c>
      <c r="O109" s="32">
        <v>41.649099999999997</v>
      </c>
      <c r="P109" s="32">
        <v>-4.70777</v>
      </c>
    </row>
    <row r="110" spans="1:16" ht="15" customHeight="1">
      <c r="A110" s="21">
        <f>IF($B110="","",COUNTA($B$4:B110))</f>
        <v>107</v>
      </c>
      <c r="B110" s="22" t="s">
        <v>253</v>
      </c>
      <c r="C110" s="21" t="s">
        <v>191</v>
      </c>
      <c r="D110" s="21" t="s">
        <v>66</v>
      </c>
      <c r="E110" s="23" t="s">
        <v>51</v>
      </c>
      <c r="F110" s="21" t="s">
        <v>19</v>
      </c>
      <c r="G110" s="24">
        <v>339</v>
      </c>
      <c r="H110" s="24">
        <v>71</v>
      </c>
      <c r="I110" s="24">
        <v>191.4</v>
      </c>
      <c r="J110" s="24">
        <v>1965</v>
      </c>
      <c r="K110" s="24">
        <v>3</v>
      </c>
      <c r="L110" s="25">
        <v>48.2</v>
      </c>
      <c r="M110" s="25">
        <f>IF(OR($K110="",$L110=""),"",ROUND('⚙️ SUPUESTOS'!$C$14*'⚙️ SUPUESTOS'!$C$18*SQRT($L110)*$K110,0))</f>
        <v>281</v>
      </c>
      <c r="N110" s="25">
        <v>1409</v>
      </c>
      <c r="O110" s="26">
        <v>41.6496</v>
      </c>
      <c r="P110" s="26">
        <v>-4.7070999999999996</v>
      </c>
    </row>
    <row r="111" spans="1:16" ht="15" customHeight="1">
      <c r="A111" s="27">
        <f>IF($B111="","",COUNTA($B$4:B111))</f>
        <v>108</v>
      </c>
      <c r="B111" s="28" t="s">
        <v>254</v>
      </c>
      <c r="C111" s="27" t="s">
        <v>255</v>
      </c>
      <c r="D111" s="27" t="s">
        <v>57</v>
      </c>
      <c r="E111" s="29" t="s">
        <v>51</v>
      </c>
      <c r="F111" s="27" t="s">
        <v>21</v>
      </c>
      <c r="G111" s="30">
        <v>223</v>
      </c>
      <c r="H111" s="30">
        <v>47</v>
      </c>
      <c r="I111" s="30">
        <v>104.6</v>
      </c>
      <c r="J111" s="30">
        <v>1968</v>
      </c>
      <c r="K111" s="30">
        <v>5</v>
      </c>
      <c r="L111" s="31">
        <v>455.2</v>
      </c>
      <c r="M111" s="31">
        <f>IF(OR($K111="",$L111=""),"",ROUND('⚙️ SUPUESTOS'!$C$14*'⚙️ SUPUESTOS'!$C$18*SQRT($L111)*$K111,0))</f>
        <v>1440</v>
      </c>
      <c r="N111" s="31">
        <v>1583</v>
      </c>
      <c r="O111" s="32">
        <v>41.650390000000002</v>
      </c>
      <c r="P111" s="32">
        <v>-4.7088299999999998</v>
      </c>
    </row>
    <row r="112" spans="1:16" ht="15" customHeight="1">
      <c r="A112" s="21">
        <f>IF($B112="","",COUNTA($B$4:B112))</f>
        <v>109</v>
      </c>
      <c r="B112" s="22" t="s">
        <v>256</v>
      </c>
      <c r="C112" s="21" t="s">
        <v>226</v>
      </c>
      <c r="D112" s="21" t="s">
        <v>124</v>
      </c>
      <c r="E112" s="23" t="s">
        <v>51</v>
      </c>
      <c r="F112" s="21" t="s">
        <v>21</v>
      </c>
      <c r="G112" s="24">
        <v>283</v>
      </c>
      <c r="H112" s="24">
        <v>59.5</v>
      </c>
      <c r="I112" s="24">
        <v>141.9</v>
      </c>
      <c r="J112" s="24">
        <v>1963</v>
      </c>
      <c r="K112" s="24">
        <v>5</v>
      </c>
      <c r="L112" s="25">
        <v>157</v>
      </c>
      <c r="M112" s="25">
        <f>IF(OR($K112="",$L112=""),"",ROUND('⚙️ SUPUESTOS'!$C$14*'⚙️ SUPUESTOS'!$C$18*SQRT($L112)*$K112,0))</f>
        <v>846</v>
      </c>
      <c r="N112" s="25">
        <v>1464</v>
      </c>
      <c r="O112" s="26">
        <v>41.648238999999997</v>
      </c>
      <c r="P112" s="26">
        <v>-4.7101709999999999</v>
      </c>
    </row>
    <row r="113" spans="1:16" ht="15" customHeight="1">
      <c r="A113" s="27">
        <f>IF($B113="","",COUNTA($B$4:B113))</f>
        <v>110</v>
      </c>
      <c r="B113" s="28" t="s">
        <v>257</v>
      </c>
      <c r="C113" s="27" t="s">
        <v>258</v>
      </c>
      <c r="D113" s="27" t="s">
        <v>66</v>
      </c>
      <c r="E113" s="29" t="s">
        <v>51</v>
      </c>
      <c r="F113" s="27" t="s">
        <v>21</v>
      </c>
      <c r="G113" s="30">
        <v>333</v>
      </c>
      <c r="H113" s="30">
        <v>65</v>
      </c>
      <c r="I113" s="30">
        <v>147.5</v>
      </c>
      <c r="J113" s="30">
        <v>1967</v>
      </c>
      <c r="K113" s="30">
        <v>6</v>
      </c>
      <c r="L113" s="31">
        <v>821.3</v>
      </c>
      <c r="M113" s="31">
        <f>IF(OR($K113="",$L113=""),"",ROUND('⚙️ SUPUESTOS'!$C$14*'⚙️ SUPUESTOS'!$C$18*SQRT($L113)*$K113,0))</f>
        <v>2321</v>
      </c>
      <c r="N113" s="31">
        <v>1501</v>
      </c>
      <c r="O113" s="32">
        <v>41.650269999999999</v>
      </c>
      <c r="P113" s="32">
        <v>-4.70845</v>
      </c>
    </row>
    <row r="114" spans="1:16" ht="15" customHeight="1">
      <c r="A114" s="21">
        <f>IF($B114="","",COUNTA($B$4:B114))</f>
        <v>111</v>
      </c>
      <c r="B114" s="22" t="s">
        <v>259</v>
      </c>
      <c r="C114" s="21" t="s">
        <v>260</v>
      </c>
      <c r="D114" s="21" t="s">
        <v>124</v>
      </c>
      <c r="E114" s="23" t="s">
        <v>51</v>
      </c>
      <c r="F114" s="21" t="s">
        <v>21</v>
      </c>
      <c r="G114" s="24">
        <v>277</v>
      </c>
      <c r="H114" s="24">
        <v>59</v>
      </c>
      <c r="I114" s="24">
        <v>123</v>
      </c>
      <c r="J114" s="24">
        <v>1969</v>
      </c>
      <c r="K114" s="24">
        <v>6</v>
      </c>
      <c r="L114" s="25">
        <v>298.8</v>
      </c>
      <c r="M114" s="25">
        <f>IF(OR($K114="",$L114=""),"",ROUND('⚙️ SUPUESTOS'!$C$14*'⚙️ SUPUESTOS'!$C$18*SQRT($L114)*$K114,0))</f>
        <v>1400</v>
      </c>
      <c r="N114" s="25">
        <v>1470</v>
      </c>
      <c r="O114" s="26">
        <v>41.64817</v>
      </c>
      <c r="P114" s="26">
        <v>-4.7113399999999999</v>
      </c>
    </row>
    <row r="115" spans="1:16" ht="15" customHeight="1">
      <c r="A115" s="27">
        <f>IF($B115="","",COUNTA($B$4:B115))</f>
        <v>112</v>
      </c>
      <c r="B115" s="28" t="s">
        <v>261</v>
      </c>
      <c r="C115" s="27" t="s">
        <v>262</v>
      </c>
      <c r="D115" s="27" t="s">
        <v>124</v>
      </c>
      <c r="E115" s="29" t="s">
        <v>51</v>
      </c>
      <c r="F115" s="27" t="s">
        <v>21</v>
      </c>
      <c r="G115" s="30">
        <v>276</v>
      </c>
      <c r="H115" s="30">
        <v>58</v>
      </c>
      <c r="I115" s="30">
        <v>112.8</v>
      </c>
      <c r="J115" s="30">
        <v>1970</v>
      </c>
      <c r="K115" s="30">
        <v>6</v>
      </c>
      <c r="L115" s="31">
        <v>824.9</v>
      </c>
      <c r="M115" s="31">
        <f>IF(OR($K115="",$L115=""),"",ROUND('⚙️ SUPUESTOS'!$C$14*'⚙️ SUPUESTOS'!$C$18*SQRT($L115)*$K115,0))</f>
        <v>2326</v>
      </c>
      <c r="N115" s="31">
        <v>1305</v>
      </c>
      <c r="O115" s="32">
        <v>41.647930000000002</v>
      </c>
      <c r="P115" s="32">
        <v>-4.7107999999999999</v>
      </c>
    </row>
    <row r="116" spans="1:16" ht="15" customHeight="1">
      <c r="A116" s="21">
        <f>IF($B116="","",COUNTA($B$4:B116))</f>
        <v>113</v>
      </c>
      <c r="B116" s="22" t="s">
        <v>263</v>
      </c>
      <c r="C116" s="21" t="s">
        <v>242</v>
      </c>
      <c r="D116" s="21" t="s">
        <v>207</v>
      </c>
      <c r="E116" s="23" t="s">
        <v>51</v>
      </c>
      <c r="F116" s="21" t="s">
        <v>21</v>
      </c>
      <c r="G116" s="24">
        <v>277</v>
      </c>
      <c r="H116" s="24">
        <v>59</v>
      </c>
      <c r="I116" s="24">
        <v>149.69999999999999</v>
      </c>
      <c r="J116" s="24">
        <v>1967</v>
      </c>
      <c r="K116" s="24">
        <v>5</v>
      </c>
      <c r="L116" s="25">
        <v>469.5</v>
      </c>
      <c r="M116" s="25">
        <f>IF(OR($K116="",$L116=""),"",ROUND('⚙️ SUPUESTOS'!$C$14*'⚙️ SUPUESTOS'!$C$18*SQRT($L116)*$K116,0))</f>
        <v>1463</v>
      </c>
      <c r="N116" s="25">
        <v>1248</v>
      </c>
      <c r="O116" s="26">
        <v>41.647530000000003</v>
      </c>
      <c r="P116" s="26">
        <v>-4.7101509999999998</v>
      </c>
    </row>
    <row r="117" spans="1:16" ht="15" customHeight="1">
      <c r="A117" s="27">
        <f>IF($B117="","",COUNTA($B$4:B117))</f>
        <v>114</v>
      </c>
      <c r="B117" s="28" t="s">
        <v>264</v>
      </c>
      <c r="C117" s="27" t="s">
        <v>265</v>
      </c>
      <c r="D117" s="27" t="s">
        <v>194</v>
      </c>
      <c r="E117" s="29" t="s">
        <v>51</v>
      </c>
      <c r="F117" s="27" t="s">
        <v>19</v>
      </c>
      <c r="G117" s="30">
        <v>403</v>
      </c>
      <c r="H117" s="30">
        <v>93.5</v>
      </c>
      <c r="I117" s="30">
        <v>199.1</v>
      </c>
      <c r="J117" s="30">
        <v>1965</v>
      </c>
      <c r="K117" s="30">
        <v>3</v>
      </c>
      <c r="L117" s="31">
        <v>117.1</v>
      </c>
      <c r="M117" s="31">
        <f>IF(OR($K117="",$L117=""),"",ROUND('⚙️ SUPUESTOS'!$C$14*'⚙️ SUPUESTOS'!$C$18*SQRT($L117)*$K117,0))</f>
        <v>438</v>
      </c>
      <c r="N117" s="31">
        <v>1441</v>
      </c>
      <c r="O117" s="32">
        <v>41.648719999999997</v>
      </c>
      <c r="P117" s="32">
        <v>-4.7080500000000001</v>
      </c>
    </row>
    <row r="118" spans="1:16" ht="15" customHeight="1">
      <c r="A118" s="21">
        <f>IF($B118="","",COUNTA($B$4:B118))</f>
        <v>115</v>
      </c>
      <c r="B118" s="22" t="s">
        <v>266</v>
      </c>
      <c r="C118" s="21" t="s">
        <v>262</v>
      </c>
      <c r="D118" s="21" t="s">
        <v>124</v>
      </c>
      <c r="E118" s="23" t="s">
        <v>51</v>
      </c>
      <c r="F118" s="21" t="s">
        <v>21</v>
      </c>
      <c r="G118" s="24">
        <v>270</v>
      </c>
      <c r="H118" s="24">
        <v>57</v>
      </c>
      <c r="I118" s="24">
        <v>128.80000000000001</v>
      </c>
      <c r="J118" s="24">
        <v>1970</v>
      </c>
      <c r="K118" s="24">
        <v>6</v>
      </c>
      <c r="L118" s="25">
        <v>824.9</v>
      </c>
      <c r="M118" s="25">
        <f>IF(OR($K118="",$L118=""),"",ROUND('⚙️ SUPUESTOS'!$C$14*'⚙️ SUPUESTOS'!$C$18*SQRT($L118)*$K118,0))</f>
        <v>2326</v>
      </c>
      <c r="N118" s="25">
        <v>1305</v>
      </c>
      <c r="O118" s="26">
        <v>41.647709999999996</v>
      </c>
      <c r="P118" s="26">
        <v>-4.7109800000000002</v>
      </c>
    </row>
    <row r="119" spans="1:16" ht="15" customHeight="1">
      <c r="A119" s="27">
        <f>IF($B119="","",COUNTA($B$4:B119))</f>
        <v>116</v>
      </c>
      <c r="B119" s="28" t="s">
        <v>267</v>
      </c>
      <c r="C119" s="27" t="s">
        <v>268</v>
      </c>
      <c r="D119" s="27" t="s">
        <v>124</v>
      </c>
      <c r="E119" s="29" t="s">
        <v>51</v>
      </c>
      <c r="F119" s="27" t="s">
        <v>21</v>
      </c>
      <c r="G119" s="30">
        <v>265</v>
      </c>
      <c r="H119" s="30">
        <v>54.5</v>
      </c>
      <c r="I119" s="30">
        <v>135.6</v>
      </c>
      <c r="J119" s="30">
        <v>1967</v>
      </c>
      <c r="K119" s="30">
        <v>5</v>
      </c>
      <c r="L119" s="31">
        <v>1038</v>
      </c>
      <c r="M119" s="31">
        <f>IF(OR($K119="",$L119=""),"",ROUND('⚙️ SUPUESTOS'!$C$14*'⚙️ SUPUESTOS'!$C$18*SQRT($L119)*$K119,0))</f>
        <v>2175</v>
      </c>
      <c r="N119" s="31">
        <v>1362</v>
      </c>
      <c r="O119" s="32">
        <v>41.647644</v>
      </c>
      <c r="P119" s="32">
        <v>-4.7102760000000004</v>
      </c>
    </row>
    <row r="120" spans="1:16" ht="15" customHeight="1">
      <c r="A120" s="21">
        <f>IF($B120="","",COUNTA($B$4:B120))</f>
        <v>117</v>
      </c>
      <c r="B120" s="22" t="s">
        <v>269</v>
      </c>
      <c r="C120" s="21" t="s">
        <v>270</v>
      </c>
      <c r="D120" s="21" t="s">
        <v>124</v>
      </c>
      <c r="E120" s="23" t="s">
        <v>51</v>
      </c>
      <c r="F120" s="21" t="s">
        <v>20</v>
      </c>
      <c r="G120" s="24">
        <v>261</v>
      </c>
      <c r="H120" s="24">
        <v>55</v>
      </c>
      <c r="I120" s="24">
        <v>136</v>
      </c>
      <c r="J120" s="24">
        <v>1983</v>
      </c>
      <c r="K120" s="24">
        <v>6</v>
      </c>
      <c r="L120" s="25">
        <v>461.2</v>
      </c>
      <c r="M120" s="25">
        <f>IF(OR($K120="",$L120=""),"",ROUND('⚙️ SUPUESTOS'!$C$14*'⚙️ SUPUESTOS'!$C$18*SQRT($L120)*$K120,0))</f>
        <v>1740</v>
      </c>
      <c r="N120" s="25">
        <v>1384</v>
      </c>
      <c r="O120" s="26">
        <v>41.648446</v>
      </c>
      <c r="P120" s="26">
        <v>-4.7103840000000003</v>
      </c>
    </row>
    <row r="121" spans="1:16" ht="15" customHeight="1">
      <c r="A121" s="27">
        <f>IF($B121="","",COUNTA($B$4:B121))</f>
        <v>118</v>
      </c>
      <c r="B121" s="28" t="s">
        <v>271</v>
      </c>
      <c r="C121" s="27" t="s">
        <v>260</v>
      </c>
      <c r="D121" s="27" t="s">
        <v>124</v>
      </c>
      <c r="E121" s="29" t="s">
        <v>51</v>
      </c>
      <c r="F121" s="27" t="s">
        <v>21</v>
      </c>
      <c r="G121" s="30">
        <v>259</v>
      </c>
      <c r="H121" s="30">
        <v>54.5</v>
      </c>
      <c r="I121" s="30">
        <v>99.9</v>
      </c>
      <c r="J121" s="30">
        <v>1969</v>
      </c>
      <c r="K121" s="30">
        <v>6</v>
      </c>
      <c r="L121" s="31">
        <v>298.8</v>
      </c>
      <c r="M121" s="31">
        <f>IF(OR($K121="",$L121=""),"",ROUND('⚙️ SUPUESTOS'!$C$14*'⚙️ SUPUESTOS'!$C$18*SQRT($L121)*$K121,0))</f>
        <v>1400</v>
      </c>
      <c r="N121" s="31">
        <v>1470</v>
      </c>
      <c r="O121" s="32">
        <v>41.647840000000002</v>
      </c>
      <c r="P121" s="32">
        <v>-4.7116100000000003</v>
      </c>
    </row>
    <row r="122" spans="1:16" ht="15" customHeight="1">
      <c r="A122" s="21">
        <f>IF($B122="","",COUNTA($B$4:B122))</f>
        <v>119</v>
      </c>
      <c r="B122" s="22" t="s">
        <v>272</v>
      </c>
      <c r="C122" s="21" t="s">
        <v>273</v>
      </c>
      <c r="D122" s="21" t="s">
        <v>207</v>
      </c>
      <c r="E122" s="23" t="s">
        <v>51</v>
      </c>
      <c r="F122" s="21" t="s">
        <v>21</v>
      </c>
      <c r="G122" s="24">
        <v>263</v>
      </c>
      <c r="H122" s="24">
        <v>55</v>
      </c>
      <c r="I122" s="24">
        <v>148.6</v>
      </c>
      <c r="J122" s="24">
        <v>1969</v>
      </c>
      <c r="K122" s="24">
        <v>6</v>
      </c>
      <c r="L122" s="25">
        <v>309.3</v>
      </c>
      <c r="M122" s="25">
        <f>IF(OR($K122="",$L122=""),"",ROUND('⚙️ SUPUESTOS'!$C$14*'⚙️ SUPUESTOS'!$C$18*SQRT($L122)*$K122,0))</f>
        <v>1425</v>
      </c>
      <c r="N122" s="25">
        <v>1459</v>
      </c>
      <c r="O122" s="26">
        <v>41.64725</v>
      </c>
      <c r="P122" s="26">
        <v>-4.7081600000000003</v>
      </c>
    </row>
    <row r="123" spans="1:16" ht="15" customHeight="1">
      <c r="A123" s="27">
        <f>IF($B123="","",COUNTA($B$4:B123))</f>
        <v>120</v>
      </c>
      <c r="B123" s="28" t="s">
        <v>274</v>
      </c>
      <c r="C123" s="27" t="s">
        <v>239</v>
      </c>
      <c r="D123" s="27" t="s">
        <v>57</v>
      </c>
      <c r="E123" s="29" t="s">
        <v>51</v>
      </c>
      <c r="F123" s="27" t="s">
        <v>21</v>
      </c>
      <c r="G123" s="30">
        <v>191</v>
      </c>
      <c r="H123" s="30">
        <v>40</v>
      </c>
      <c r="I123" s="30">
        <v>105.7</v>
      </c>
      <c r="J123" s="30">
        <v>1967</v>
      </c>
      <c r="K123" s="30">
        <v>5</v>
      </c>
      <c r="L123" s="31">
        <v>509.1</v>
      </c>
      <c r="M123" s="31">
        <f>IF(OR($K123="",$L123=""),"",ROUND('⚙️ SUPUESTOS'!$C$14*'⚙️ SUPUESTOS'!$C$18*SQRT($L123)*$K123,0))</f>
        <v>1523</v>
      </c>
      <c r="N123" s="31">
        <v>1506</v>
      </c>
      <c r="O123" s="32">
        <v>41.649749999999997</v>
      </c>
      <c r="P123" s="32">
        <v>-4.7093350000000003</v>
      </c>
    </row>
    <row r="124" spans="1:16" ht="15" customHeight="1">
      <c r="A124" s="21">
        <f>IF($B124="","",COUNTA($B$4:B124))</f>
        <v>121</v>
      </c>
      <c r="B124" s="22" t="s">
        <v>275</v>
      </c>
      <c r="C124" s="21" t="s">
        <v>187</v>
      </c>
      <c r="D124" s="21" t="s">
        <v>124</v>
      </c>
      <c r="E124" s="23" t="s">
        <v>51</v>
      </c>
      <c r="F124" s="21" t="s">
        <v>21</v>
      </c>
      <c r="G124" s="24">
        <v>254</v>
      </c>
      <c r="H124" s="24">
        <v>54</v>
      </c>
      <c r="I124" s="24">
        <v>138.5</v>
      </c>
      <c r="J124" s="24">
        <v>1969</v>
      </c>
      <c r="K124" s="24">
        <v>6</v>
      </c>
      <c r="L124" s="25">
        <v>271.8</v>
      </c>
      <c r="M124" s="25">
        <f>IF(OR($K124="",$L124=""),"",ROUND('⚙️ SUPUESTOS'!$C$14*'⚙️ SUPUESTOS'!$C$18*SQRT($L124)*$K124,0))</f>
        <v>1335</v>
      </c>
      <c r="N124" s="25">
        <v>1426</v>
      </c>
      <c r="O124" s="26">
        <v>41.64799</v>
      </c>
      <c r="P124" s="26">
        <v>-4.7121700000000004</v>
      </c>
    </row>
    <row r="125" spans="1:16" ht="15" customHeight="1">
      <c r="A125" s="27">
        <f>IF($B125="","",COUNTA($B$4:B125))</f>
        <v>122</v>
      </c>
      <c r="B125" s="28" t="s">
        <v>276</v>
      </c>
      <c r="C125" s="27" t="s">
        <v>277</v>
      </c>
      <c r="D125" s="27" t="s">
        <v>207</v>
      </c>
      <c r="E125" s="29" t="s">
        <v>51</v>
      </c>
      <c r="F125" s="27" t="s">
        <v>21</v>
      </c>
      <c r="G125" s="30">
        <v>259</v>
      </c>
      <c r="H125" s="30">
        <v>54.5</v>
      </c>
      <c r="I125" s="30">
        <v>120.9</v>
      </c>
      <c r="J125" s="30">
        <v>1970</v>
      </c>
      <c r="K125" s="30">
        <v>6</v>
      </c>
      <c r="L125" s="31">
        <v>241</v>
      </c>
      <c r="M125" s="31">
        <f>IF(OR($K125="",$L125=""),"",ROUND('⚙️ SUPUESTOS'!$C$14*'⚙️ SUPUESTOS'!$C$18*SQRT($L125)*$K125,0))</f>
        <v>1257</v>
      </c>
      <c r="N125" s="31">
        <v>1315</v>
      </c>
      <c r="O125" s="32">
        <v>41.646979999999999</v>
      </c>
      <c r="P125" s="32">
        <v>-4.7083300000000001</v>
      </c>
    </row>
    <row r="126" spans="1:16" ht="15" customHeight="1">
      <c r="A126" s="21">
        <f>IF($B126="","",COUNTA($B$4:B126))</f>
        <v>123</v>
      </c>
      <c r="B126" s="22" t="s">
        <v>278</v>
      </c>
      <c r="C126" s="21" t="s">
        <v>279</v>
      </c>
      <c r="D126" s="21" t="s">
        <v>66</v>
      </c>
      <c r="E126" s="23" t="s">
        <v>51</v>
      </c>
      <c r="F126" s="21" t="s">
        <v>20</v>
      </c>
      <c r="G126" s="24">
        <v>304</v>
      </c>
      <c r="H126" s="24">
        <v>64</v>
      </c>
      <c r="I126" s="24">
        <v>203</v>
      </c>
      <c r="J126" s="24">
        <v>1965</v>
      </c>
      <c r="K126" s="24">
        <v>3</v>
      </c>
      <c r="L126" s="25">
        <v>96.1</v>
      </c>
      <c r="M126" s="25">
        <f>IF(OR($K126="",$L126=""),"",ROUND('⚙️ SUPUESTOS'!$C$14*'⚙️ SUPUESTOS'!$C$18*SQRT($L126)*$K126,0))</f>
        <v>397</v>
      </c>
      <c r="N126" s="25">
        <v>1389</v>
      </c>
      <c r="O126" s="26">
        <v>41.648879999999998</v>
      </c>
      <c r="P126" s="26">
        <v>-4.7079300000000002</v>
      </c>
    </row>
    <row r="127" spans="1:16" ht="15" customHeight="1">
      <c r="A127" s="27">
        <f>IF($B127="","",COUNTA($B$4:B127))</f>
        <v>124</v>
      </c>
      <c r="B127" s="28" t="s">
        <v>280</v>
      </c>
      <c r="C127" s="27" t="s">
        <v>281</v>
      </c>
      <c r="D127" s="27" t="s">
        <v>57</v>
      </c>
      <c r="E127" s="29" t="s">
        <v>51</v>
      </c>
      <c r="F127" s="27" t="s">
        <v>21</v>
      </c>
      <c r="G127" s="30">
        <v>188</v>
      </c>
      <c r="H127" s="30">
        <v>39</v>
      </c>
      <c r="I127" s="30">
        <v>87.2</v>
      </c>
      <c r="J127" s="30">
        <v>1971</v>
      </c>
      <c r="K127" s="30">
        <v>6</v>
      </c>
      <c r="L127" s="31">
        <v>482.4</v>
      </c>
      <c r="M127" s="31">
        <f>IF(OR($K127="",$L127=""),"",ROUND('⚙️ SUPUESTOS'!$C$14*'⚙️ SUPUESTOS'!$C$18*SQRT($L127)*$K127,0))</f>
        <v>1779</v>
      </c>
      <c r="N127" s="31">
        <v>1451</v>
      </c>
      <c r="O127" s="32">
        <v>41.650674000000002</v>
      </c>
      <c r="P127" s="32">
        <v>-4.7084429999999999</v>
      </c>
    </row>
    <row r="128" spans="1:16" ht="15" customHeight="1">
      <c r="A128" s="21">
        <f>IF($B128="","",COUNTA($B$4:B128))</f>
        <v>125</v>
      </c>
      <c r="B128" s="22" t="s">
        <v>282</v>
      </c>
      <c r="C128" s="21" t="s">
        <v>283</v>
      </c>
      <c r="D128" s="21" t="s">
        <v>57</v>
      </c>
      <c r="E128" s="23" t="s">
        <v>51</v>
      </c>
      <c r="F128" s="21" t="s">
        <v>21</v>
      </c>
      <c r="G128" s="24">
        <v>186</v>
      </c>
      <c r="H128" s="24">
        <v>35</v>
      </c>
      <c r="I128" s="24">
        <v>73.900000000000006</v>
      </c>
      <c r="J128" s="24">
        <v>1968</v>
      </c>
      <c r="K128" s="24">
        <v>5</v>
      </c>
      <c r="L128" s="25">
        <v>450.1</v>
      </c>
      <c r="M128" s="25">
        <f>IF(OR($K128="",$L128=""),"",ROUND('⚙️ SUPUESTOS'!$C$14*'⚙️ SUPUESTOS'!$C$18*SQRT($L128)*$K128,0))</f>
        <v>1432</v>
      </c>
      <c r="N128" s="25">
        <v>1525</v>
      </c>
      <c r="O128" s="26">
        <v>41.650069999999999</v>
      </c>
      <c r="P128" s="26">
        <v>-4.7090899999999998</v>
      </c>
    </row>
    <row r="129" spans="1:16" ht="15" customHeight="1">
      <c r="A129" s="27">
        <f>IF($B129="","",COUNTA($B$4:B129))</f>
        <v>126</v>
      </c>
      <c r="B129" s="28" t="s">
        <v>284</v>
      </c>
      <c r="C129" s="27" t="s">
        <v>226</v>
      </c>
      <c r="D129" s="27" t="s">
        <v>124</v>
      </c>
      <c r="E129" s="29" t="s">
        <v>51</v>
      </c>
      <c r="F129" s="27" t="s">
        <v>22</v>
      </c>
      <c r="G129" s="30">
        <v>250</v>
      </c>
      <c r="H129" s="30">
        <v>53</v>
      </c>
      <c r="I129" s="30">
        <v>123.6</v>
      </c>
      <c r="J129" s="30">
        <v>1963</v>
      </c>
      <c r="K129" s="30">
        <v>5</v>
      </c>
      <c r="L129" s="31">
        <v>157</v>
      </c>
      <c r="M129" s="31">
        <f>IF(OR($K129="",$L129=""),"",ROUND('⚙️ SUPUESTOS'!$C$14*'⚙️ SUPUESTOS'!$C$18*SQRT($L129)*$K129,0))</f>
        <v>846</v>
      </c>
      <c r="N129" s="31">
        <v>1464</v>
      </c>
      <c r="O129" s="32">
        <v>41.648319999999998</v>
      </c>
      <c r="P129" s="32">
        <v>-4.7098599999999999</v>
      </c>
    </row>
    <row r="130" spans="1:16" ht="15" customHeight="1">
      <c r="A130" s="21">
        <f>IF($B130="","",COUNTA($B$4:B130))</f>
        <v>127</v>
      </c>
      <c r="B130" s="22" t="s">
        <v>285</v>
      </c>
      <c r="C130" s="21" t="s">
        <v>260</v>
      </c>
      <c r="D130" s="21" t="s">
        <v>124</v>
      </c>
      <c r="E130" s="23" t="s">
        <v>51</v>
      </c>
      <c r="F130" s="21" t="s">
        <v>21</v>
      </c>
      <c r="G130" s="24">
        <v>250</v>
      </c>
      <c r="H130" s="24">
        <v>53</v>
      </c>
      <c r="I130" s="24">
        <v>113.8</v>
      </c>
      <c r="J130" s="24">
        <v>1969</v>
      </c>
      <c r="K130" s="24">
        <v>6</v>
      </c>
      <c r="L130" s="25">
        <v>298.8</v>
      </c>
      <c r="M130" s="25">
        <f>IF(OR($K130="",$L130=""),"",ROUND('⚙️ SUPUESTOS'!$C$14*'⚙️ SUPUESTOS'!$C$18*SQRT($L130)*$K130,0))</f>
        <v>1400</v>
      </c>
      <c r="N130" s="25">
        <v>1470</v>
      </c>
      <c r="O130" s="26">
        <v>41.647959999999998</v>
      </c>
      <c r="P130" s="26">
        <v>-4.7115200000000002</v>
      </c>
    </row>
    <row r="131" spans="1:16" ht="15" customHeight="1">
      <c r="A131" s="27">
        <f>IF($B131="","",COUNTA($B$4:B131))</f>
        <v>128</v>
      </c>
      <c r="B131" s="28" t="s">
        <v>286</v>
      </c>
      <c r="C131" s="27" t="s">
        <v>260</v>
      </c>
      <c r="D131" s="27" t="s">
        <v>124</v>
      </c>
      <c r="E131" s="29" t="s">
        <v>51</v>
      </c>
      <c r="F131" s="27" t="s">
        <v>21</v>
      </c>
      <c r="G131" s="30">
        <v>250</v>
      </c>
      <c r="H131" s="30">
        <v>53</v>
      </c>
      <c r="I131" s="30">
        <v>108.6</v>
      </c>
      <c r="J131" s="30">
        <v>1969</v>
      </c>
      <c r="K131" s="30">
        <v>6</v>
      </c>
      <c r="L131" s="31">
        <v>298.8</v>
      </c>
      <c r="M131" s="31">
        <f>IF(OR($K131="",$L131=""),"",ROUND('⚙️ SUPUESTOS'!$C$14*'⚙️ SUPUESTOS'!$C$18*SQRT($L131)*$K131,0))</f>
        <v>1400</v>
      </c>
      <c r="N131" s="31">
        <v>1470</v>
      </c>
      <c r="O131" s="32">
        <v>41.64808</v>
      </c>
      <c r="P131" s="32">
        <v>-4.7114200000000004</v>
      </c>
    </row>
    <row r="132" spans="1:16" ht="15" customHeight="1">
      <c r="A132" s="21">
        <f>IF($B132="","",COUNTA($B$4:B132))</f>
        <v>129</v>
      </c>
      <c r="B132" s="22" t="s">
        <v>287</v>
      </c>
      <c r="C132" s="21" t="s">
        <v>288</v>
      </c>
      <c r="D132" s="21" t="s">
        <v>124</v>
      </c>
      <c r="E132" s="23" t="s">
        <v>51</v>
      </c>
      <c r="F132" s="21" t="s">
        <v>21</v>
      </c>
      <c r="G132" s="24">
        <v>249</v>
      </c>
      <c r="H132" s="24">
        <v>53</v>
      </c>
      <c r="I132" s="24">
        <v>140.9</v>
      </c>
      <c r="J132" s="24">
        <v>1969</v>
      </c>
      <c r="K132" s="24">
        <v>6</v>
      </c>
      <c r="L132" s="25">
        <v>991.2</v>
      </c>
      <c r="M132" s="25">
        <f>IF(OR($K132="",$L132=""),"",ROUND('⚙️ SUPUESTOS'!$C$14*'⚙️ SUPUESTOS'!$C$18*SQRT($L132)*$K132,0))</f>
        <v>2550</v>
      </c>
      <c r="N132" s="25">
        <v>1438</v>
      </c>
      <c r="O132" s="26">
        <v>41.64734</v>
      </c>
      <c r="P132" s="26">
        <v>-4.7106700000000004</v>
      </c>
    </row>
    <row r="133" spans="1:16" ht="15" customHeight="1">
      <c r="A133" s="27">
        <f>IF($B133="","",COUNTA($B$4:B133))</f>
        <v>130</v>
      </c>
      <c r="B133" s="28" t="s">
        <v>289</v>
      </c>
      <c r="C133" s="27" t="s">
        <v>290</v>
      </c>
      <c r="D133" s="27" t="s">
        <v>207</v>
      </c>
      <c r="E133" s="29" t="s">
        <v>51</v>
      </c>
      <c r="F133" s="27" t="s">
        <v>21</v>
      </c>
      <c r="G133" s="30">
        <v>251</v>
      </c>
      <c r="H133" s="30">
        <v>50</v>
      </c>
      <c r="I133" s="30">
        <v>141.9</v>
      </c>
      <c r="J133" s="30">
        <v>1967</v>
      </c>
      <c r="K133" s="30">
        <v>6</v>
      </c>
      <c r="L133" s="31">
        <v>318.8</v>
      </c>
      <c r="M133" s="31">
        <f>IF(OR($K133="",$L133=""),"",ROUND('⚙️ SUPUESTOS'!$C$14*'⚙️ SUPUESTOS'!$C$18*SQRT($L133)*$K133,0))</f>
        <v>1446</v>
      </c>
      <c r="N133" s="31">
        <v>1515</v>
      </c>
      <c r="O133" s="32">
        <v>41.647280000000002</v>
      </c>
      <c r="P133" s="32">
        <v>-4.70974</v>
      </c>
    </row>
    <row r="134" spans="1:16" ht="15" customHeight="1">
      <c r="A134" s="21">
        <f>IF($B134="","",COUNTA($B$4:B134))</f>
        <v>131</v>
      </c>
      <c r="B134" s="22" t="s">
        <v>291</v>
      </c>
      <c r="C134" s="21" t="s">
        <v>292</v>
      </c>
      <c r="D134" s="21" t="s">
        <v>66</v>
      </c>
      <c r="E134" s="23" t="s">
        <v>51</v>
      </c>
      <c r="F134" s="21" t="s">
        <v>20</v>
      </c>
      <c r="G134" s="24">
        <v>296</v>
      </c>
      <c r="H134" s="24">
        <v>126</v>
      </c>
      <c r="I134" s="24">
        <v>160.6</v>
      </c>
      <c r="J134" s="24">
        <v>1965</v>
      </c>
      <c r="K134" s="24">
        <v>3</v>
      </c>
      <c r="L134" s="25">
        <v>96.8</v>
      </c>
      <c r="M134" s="25">
        <f>IF(OR($K134="",$L134=""),"",ROUND('⚙️ SUPUESTOS'!$C$14*'⚙️ SUPUESTOS'!$C$18*SQRT($L134)*$K134,0))</f>
        <v>398</v>
      </c>
      <c r="N134" s="25">
        <v>1339</v>
      </c>
      <c r="O134" s="26">
        <v>41.649270000000001</v>
      </c>
      <c r="P134" s="26">
        <v>-4.7074199999999999</v>
      </c>
    </row>
    <row r="135" spans="1:16" ht="15" customHeight="1">
      <c r="A135" s="27">
        <f>IF($B135="","",COUNTA($B$4:B135))</f>
        <v>132</v>
      </c>
      <c r="B135" s="28" t="s">
        <v>293</v>
      </c>
      <c r="C135" s="27" t="s">
        <v>294</v>
      </c>
      <c r="D135" s="27" t="s">
        <v>57</v>
      </c>
      <c r="E135" s="29" t="s">
        <v>51</v>
      </c>
      <c r="F135" s="27" t="s">
        <v>21</v>
      </c>
      <c r="G135" s="30">
        <v>178</v>
      </c>
      <c r="H135" s="30">
        <v>37</v>
      </c>
      <c r="I135" s="30">
        <v>131.6</v>
      </c>
      <c r="J135" s="30">
        <v>1965</v>
      </c>
      <c r="K135" s="30">
        <v>3</v>
      </c>
      <c r="L135" s="31">
        <v>99.7</v>
      </c>
      <c r="M135" s="31">
        <f>IF(OR($K135="",$L135=""),"",ROUND('⚙️ SUPUESTOS'!$C$14*'⚙️ SUPUESTOS'!$C$18*SQRT($L135)*$K135,0))</f>
        <v>404</v>
      </c>
      <c r="N135" s="31">
        <v>1308</v>
      </c>
      <c r="O135" s="32">
        <v>41.649760000000001</v>
      </c>
      <c r="P135" s="32">
        <v>-4.7088299999999998</v>
      </c>
    </row>
    <row r="136" spans="1:16" ht="15" customHeight="1">
      <c r="A136" s="21">
        <f>IF($B136="","",COUNTA($B$4:B136))</f>
        <v>133</v>
      </c>
      <c r="B136" s="22" t="s">
        <v>295</v>
      </c>
      <c r="C136" s="21" t="s">
        <v>296</v>
      </c>
      <c r="D136" s="21" t="s">
        <v>207</v>
      </c>
      <c r="E136" s="23" t="s">
        <v>51</v>
      </c>
      <c r="F136" s="21" t="s">
        <v>21</v>
      </c>
      <c r="G136" s="24">
        <v>244</v>
      </c>
      <c r="H136" s="24">
        <v>52</v>
      </c>
      <c r="I136" s="24">
        <v>136.19999999999999</v>
      </c>
      <c r="J136" s="24">
        <v>1970</v>
      </c>
      <c r="K136" s="24">
        <v>6</v>
      </c>
      <c r="L136" s="25">
        <v>320.60000000000002</v>
      </c>
      <c r="M136" s="25">
        <f>IF(OR($K136="",$L136=""),"",ROUND('⚙️ SUPUESTOS'!$C$14*'⚙️ SUPUESTOS'!$C$18*SQRT($L136)*$K136,0))</f>
        <v>1450</v>
      </c>
      <c r="N136" s="25">
        <v>1425</v>
      </c>
      <c r="O136" s="26">
        <v>41.646709999999999</v>
      </c>
      <c r="P136" s="26">
        <v>-4.7085400000000002</v>
      </c>
    </row>
    <row r="137" spans="1:16" ht="15" customHeight="1">
      <c r="A137" s="27">
        <f>IF($B137="","",COUNTA($B$4:B137))</f>
        <v>134</v>
      </c>
      <c r="B137" s="28" t="s">
        <v>297</v>
      </c>
      <c r="C137" s="27" t="s">
        <v>298</v>
      </c>
      <c r="D137" s="27" t="s">
        <v>66</v>
      </c>
      <c r="E137" s="29" t="s">
        <v>51</v>
      </c>
      <c r="F137" s="27" t="s">
        <v>19</v>
      </c>
      <c r="G137" s="30">
        <v>289</v>
      </c>
      <c r="H137" s="30">
        <v>61</v>
      </c>
      <c r="I137" s="30">
        <v>128.69999999999999</v>
      </c>
      <c r="J137" s="30">
        <v>1969</v>
      </c>
      <c r="K137" s="30">
        <v>6</v>
      </c>
      <c r="L137" s="31">
        <v>573</v>
      </c>
      <c r="M137" s="31">
        <f>IF(OR($K137="",$L137=""),"",ROUND('⚙️ SUPUESTOS'!$C$14*'⚙️ SUPUESTOS'!$C$18*SQRT($L137)*$K137,0))</f>
        <v>1939</v>
      </c>
      <c r="N137" s="31">
        <v>1356</v>
      </c>
      <c r="O137" s="32">
        <v>41.649740000000001</v>
      </c>
      <c r="P137" s="32">
        <v>-4.7072700000000003</v>
      </c>
    </row>
    <row r="138" spans="1:16" ht="15" customHeight="1">
      <c r="A138" s="21">
        <f>IF($B138="","",COUNTA($B$4:B138))</f>
        <v>135</v>
      </c>
      <c r="B138" s="22" t="s">
        <v>299</v>
      </c>
      <c r="C138" s="21" t="s">
        <v>300</v>
      </c>
      <c r="D138" s="21" t="s">
        <v>66</v>
      </c>
      <c r="E138" s="23" t="s">
        <v>51</v>
      </c>
      <c r="F138" s="21" t="s">
        <v>21</v>
      </c>
      <c r="G138" s="24">
        <v>288</v>
      </c>
      <c r="H138" s="24">
        <v>61</v>
      </c>
      <c r="I138" s="24">
        <v>125.2</v>
      </c>
      <c r="J138" s="24">
        <v>1970</v>
      </c>
      <c r="K138" s="24">
        <v>6</v>
      </c>
      <c r="L138" s="25">
        <v>910.1</v>
      </c>
      <c r="M138" s="25">
        <f>IF(OR($K138="",$L138=""),"",ROUND('⚙️ SUPUESTOS'!$C$14*'⚙️ SUPUESTOS'!$C$18*SQRT($L138)*$K138,0))</f>
        <v>2444</v>
      </c>
      <c r="N138" s="25">
        <v>1417</v>
      </c>
      <c r="O138" s="26">
        <v>41.648829999999997</v>
      </c>
      <c r="P138" s="26">
        <v>-4.70777</v>
      </c>
    </row>
    <row r="139" spans="1:16" ht="15" customHeight="1">
      <c r="A139" s="27">
        <f>IF($B139="","",COUNTA($B$4:B139))</f>
        <v>136</v>
      </c>
      <c r="B139" s="28" t="s">
        <v>301</v>
      </c>
      <c r="C139" s="27" t="s">
        <v>123</v>
      </c>
      <c r="D139" s="27" t="s">
        <v>124</v>
      </c>
      <c r="E139" s="29" t="s">
        <v>51</v>
      </c>
      <c r="F139" s="27" t="s">
        <v>21</v>
      </c>
      <c r="G139" s="30">
        <v>236</v>
      </c>
      <c r="H139" s="30">
        <v>50</v>
      </c>
      <c r="I139" s="30">
        <v>108.9</v>
      </c>
      <c r="J139" s="30">
        <v>1969</v>
      </c>
      <c r="K139" s="30">
        <v>6</v>
      </c>
      <c r="L139" s="31">
        <v>193.8</v>
      </c>
      <c r="M139" s="31">
        <f>IF(OR($K139="",$L139=""),"",ROUND('⚙️ SUPUESTOS'!$C$14*'⚙️ SUPUESTOS'!$C$18*SQRT($L139)*$K139,0))</f>
        <v>1128</v>
      </c>
      <c r="N139" s="31">
        <v>1454</v>
      </c>
      <c r="O139" s="32">
        <v>41.647815000000001</v>
      </c>
      <c r="P139" s="32">
        <v>-4.7110560000000001</v>
      </c>
    </row>
    <row r="140" spans="1:16" ht="15" customHeight="1">
      <c r="A140" s="21">
        <f>IF($B140="","",COUNTA($B$4:B140))</f>
        <v>137</v>
      </c>
      <c r="B140" s="22" t="s">
        <v>302</v>
      </c>
      <c r="C140" s="21" t="s">
        <v>303</v>
      </c>
      <c r="D140" s="21" t="s">
        <v>207</v>
      </c>
      <c r="E140" s="23" t="s">
        <v>51</v>
      </c>
      <c r="F140" s="21" t="s">
        <v>21</v>
      </c>
      <c r="G140" s="24">
        <v>240</v>
      </c>
      <c r="H140" s="24">
        <v>49.5</v>
      </c>
      <c r="I140" s="24">
        <v>122.9</v>
      </c>
      <c r="J140" s="24">
        <v>1965</v>
      </c>
      <c r="K140" s="24">
        <v>5</v>
      </c>
      <c r="L140" s="25">
        <v>198.1</v>
      </c>
      <c r="M140" s="25">
        <f>IF(OR($K140="",$L140=""),"",ROUND('⚙️ SUPUESTOS'!$C$14*'⚙️ SUPUESTOS'!$C$18*SQRT($L140)*$K140,0))</f>
        <v>950</v>
      </c>
      <c r="N140" s="25">
        <v>1429</v>
      </c>
      <c r="O140" s="26">
        <v>41.648029999999999</v>
      </c>
      <c r="P140" s="26">
        <v>-4.7092700000000001</v>
      </c>
    </row>
    <row r="141" spans="1:16" ht="15" customHeight="1">
      <c r="A141" s="27">
        <f>IF($B141="","",COUNTA($B$4:B141))</f>
        <v>138</v>
      </c>
      <c r="B141" s="28" t="s">
        <v>304</v>
      </c>
      <c r="C141" s="27" t="s">
        <v>305</v>
      </c>
      <c r="D141" s="27" t="s">
        <v>207</v>
      </c>
      <c r="E141" s="29" t="s">
        <v>51</v>
      </c>
      <c r="F141" s="27" t="s">
        <v>21</v>
      </c>
      <c r="G141" s="30">
        <v>240</v>
      </c>
      <c r="H141" s="30">
        <v>50</v>
      </c>
      <c r="I141" s="30">
        <v>119</v>
      </c>
      <c r="J141" s="30">
        <v>1965</v>
      </c>
      <c r="K141" s="30">
        <v>5</v>
      </c>
      <c r="L141" s="31">
        <v>156.69999999999999</v>
      </c>
      <c r="M141" s="31">
        <f>IF(OR($K141="",$L141=""),"",ROUND('⚙️ SUPUESTOS'!$C$14*'⚙️ SUPUESTOS'!$C$18*SQRT($L141)*$K141,0))</f>
        <v>845</v>
      </c>
      <c r="N141" s="31">
        <v>1403</v>
      </c>
      <c r="O141" s="32">
        <v>41.647860000000001</v>
      </c>
      <c r="P141" s="32">
        <v>-4.7092700000000001</v>
      </c>
    </row>
    <row r="142" spans="1:16" ht="15" customHeight="1">
      <c r="A142" s="21">
        <f>IF($B142="","",COUNTA($B$4:B142))</f>
        <v>139</v>
      </c>
      <c r="B142" s="22" t="s">
        <v>306</v>
      </c>
      <c r="C142" s="21" t="s">
        <v>307</v>
      </c>
      <c r="D142" s="21" t="s">
        <v>57</v>
      </c>
      <c r="E142" s="23" t="s">
        <v>51</v>
      </c>
      <c r="F142" s="21" t="s">
        <v>21</v>
      </c>
      <c r="G142" s="24">
        <v>168</v>
      </c>
      <c r="H142" s="24">
        <v>34</v>
      </c>
      <c r="I142" s="24">
        <v>77.3</v>
      </c>
      <c r="J142" s="24">
        <v>1968</v>
      </c>
      <c r="K142" s="24">
        <v>5</v>
      </c>
      <c r="L142" s="25">
        <v>453.8</v>
      </c>
      <c r="M142" s="25">
        <f>IF(OR($K142="",$L142=""),"",ROUND('⚙️ SUPUESTOS'!$C$14*'⚙️ SUPUESTOS'!$C$18*SQRT($L142)*$K142,0))</f>
        <v>1438</v>
      </c>
      <c r="N142" s="25">
        <v>1522</v>
      </c>
      <c r="O142" s="26">
        <v>41.650230000000001</v>
      </c>
      <c r="P142" s="26">
        <v>-4.7089600000000003</v>
      </c>
    </row>
    <row r="143" spans="1:16" ht="15" customHeight="1">
      <c r="A143" s="27">
        <f>IF($B143="","",COUNTA($B$4:B143))</f>
        <v>140</v>
      </c>
      <c r="B143" s="28" t="s">
        <v>308</v>
      </c>
      <c r="C143" s="27" t="s">
        <v>309</v>
      </c>
      <c r="D143" s="27" t="s">
        <v>124</v>
      </c>
      <c r="E143" s="29" t="s">
        <v>51</v>
      </c>
      <c r="F143" s="27" t="s">
        <v>21</v>
      </c>
      <c r="G143" s="30">
        <v>232</v>
      </c>
      <c r="H143" s="30">
        <v>49</v>
      </c>
      <c r="I143" s="30">
        <v>102.3</v>
      </c>
      <c r="J143" s="30">
        <v>1977</v>
      </c>
      <c r="K143" s="30">
        <v>7</v>
      </c>
      <c r="L143" s="31">
        <v>927.2</v>
      </c>
      <c r="M143" s="31">
        <f>IF(OR($K143="",$L143=""),"",ROUND('⚙️ SUPUESTOS'!$C$14*'⚙️ SUPUESTOS'!$C$18*SQRT($L143)*$K143,0))</f>
        <v>2878</v>
      </c>
      <c r="N143" s="31">
        <v>1469</v>
      </c>
      <c r="O143" s="32">
        <v>41.648690000000002</v>
      </c>
      <c r="P143" s="32">
        <v>-4.71068</v>
      </c>
    </row>
    <row r="144" spans="1:16" ht="15" customHeight="1">
      <c r="A144" s="21">
        <f>IF($B144="","",COUNTA($B$4:B144))</f>
        <v>141</v>
      </c>
      <c r="B144" s="22" t="s">
        <v>310</v>
      </c>
      <c r="C144" s="21" t="s">
        <v>245</v>
      </c>
      <c r="D144" s="21" t="s">
        <v>207</v>
      </c>
      <c r="E144" s="23" t="s">
        <v>51</v>
      </c>
      <c r="F144" s="21" t="s">
        <v>21</v>
      </c>
      <c r="G144" s="24">
        <v>234</v>
      </c>
      <c r="H144" s="24">
        <v>48.5</v>
      </c>
      <c r="I144" s="24">
        <v>117.5</v>
      </c>
      <c r="J144" s="24">
        <v>1967</v>
      </c>
      <c r="K144" s="24">
        <v>6</v>
      </c>
      <c r="L144" s="25">
        <v>368.9</v>
      </c>
      <c r="M144" s="25">
        <f>IF(OR($K144="",$L144=""),"",ROUND('⚙️ SUPUESTOS'!$C$14*'⚙️ SUPUESTOS'!$C$18*SQRT($L144)*$K144,0))</f>
        <v>1556</v>
      </c>
      <c r="N144" s="25">
        <v>1369</v>
      </c>
      <c r="O144" s="26">
        <v>41.647950000000002</v>
      </c>
      <c r="P144" s="26">
        <v>-4.7098100000000001</v>
      </c>
    </row>
    <row r="145" spans="1:16" ht="15" customHeight="1">
      <c r="A145" s="27">
        <f>IF($B145="","",COUNTA($B$4:B145))</f>
        <v>142</v>
      </c>
      <c r="B145" s="28" t="s">
        <v>311</v>
      </c>
      <c r="C145" s="27" t="s">
        <v>230</v>
      </c>
      <c r="D145" s="27" t="s">
        <v>124</v>
      </c>
      <c r="E145" s="29" t="s">
        <v>51</v>
      </c>
      <c r="F145" s="27" t="s">
        <v>21</v>
      </c>
      <c r="G145" s="30">
        <v>228</v>
      </c>
      <c r="H145" s="30">
        <v>48</v>
      </c>
      <c r="I145" s="30">
        <v>109.1</v>
      </c>
      <c r="J145" s="30">
        <v>1969</v>
      </c>
      <c r="K145" s="30">
        <v>6</v>
      </c>
      <c r="L145" s="31">
        <v>312.8</v>
      </c>
      <c r="M145" s="31">
        <f>IF(OR($K145="",$L145=""),"",ROUND('⚙️ SUPUESTOS'!$C$14*'⚙️ SUPUESTOS'!$C$18*SQRT($L145)*$K145,0))</f>
        <v>1433</v>
      </c>
      <c r="N145" s="31">
        <v>1458</v>
      </c>
      <c r="O145" s="32">
        <v>41.648249999999997</v>
      </c>
      <c r="P145" s="32">
        <v>-4.7114500000000001</v>
      </c>
    </row>
    <row r="146" spans="1:16" ht="15" customHeight="1">
      <c r="A146" s="21">
        <f>IF($B146="","",COUNTA($B$4:B146))</f>
        <v>143</v>
      </c>
      <c r="B146" s="22" t="s">
        <v>312</v>
      </c>
      <c r="C146" s="21" t="s">
        <v>226</v>
      </c>
      <c r="D146" s="21" t="s">
        <v>124</v>
      </c>
      <c r="E146" s="23" t="s">
        <v>51</v>
      </c>
      <c r="F146" s="21" t="s">
        <v>21</v>
      </c>
      <c r="G146" s="24">
        <v>226</v>
      </c>
      <c r="H146" s="24">
        <v>46</v>
      </c>
      <c r="I146" s="24">
        <v>125.2</v>
      </c>
      <c r="J146" s="24">
        <v>1963</v>
      </c>
      <c r="K146" s="24">
        <v>5</v>
      </c>
      <c r="L146" s="25">
        <v>157</v>
      </c>
      <c r="M146" s="25">
        <f>IF(OR($K146="",$L146=""),"",ROUND('⚙️ SUPUESTOS'!$C$14*'⚙️ SUPUESTOS'!$C$18*SQRT($L146)*$K146,0))</f>
        <v>846</v>
      </c>
      <c r="N146" s="25">
        <v>1464</v>
      </c>
      <c r="O146" s="26">
        <v>41.648099000000002</v>
      </c>
      <c r="P146" s="26">
        <v>-4.7100929999999996</v>
      </c>
    </row>
    <row r="147" spans="1:16" ht="15" customHeight="1">
      <c r="A147" s="27">
        <f>IF($B147="","",COUNTA($B$4:B147))</f>
        <v>144</v>
      </c>
      <c r="B147" s="28" t="s">
        <v>313</v>
      </c>
      <c r="C147" s="27" t="s">
        <v>273</v>
      </c>
      <c r="D147" s="27" t="s">
        <v>207</v>
      </c>
      <c r="E147" s="29" t="s">
        <v>51</v>
      </c>
      <c r="F147" s="27" t="s">
        <v>21</v>
      </c>
      <c r="G147" s="30">
        <v>226</v>
      </c>
      <c r="H147" s="30">
        <v>48</v>
      </c>
      <c r="I147" s="30">
        <v>112.8</v>
      </c>
      <c r="J147" s="30">
        <v>1969</v>
      </c>
      <c r="K147" s="30">
        <v>6</v>
      </c>
      <c r="L147" s="31">
        <v>309.3</v>
      </c>
      <c r="M147" s="31">
        <f>IF(OR($K147="",$L147=""),"",ROUND('⚙️ SUPUESTOS'!$C$14*'⚙️ SUPUESTOS'!$C$18*SQRT($L147)*$K147,0))</f>
        <v>1425</v>
      </c>
      <c r="N147" s="31">
        <v>1459</v>
      </c>
      <c r="O147" s="32">
        <v>41.647069999999999</v>
      </c>
      <c r="P147" s="32">
        <v>-4.7082499999999996</v>
      </c>
    </row>
    <row r="148" spans="1:16" ht="15" customHeight="1">
      <c r="A148" s="21">
        <f>IF($B148="","",COUNTA($B$4:B148))</f>
        <v>145</v>
      </c>
      <c r="B148" s="22" t="s">
        <v>314</v>
      </c>
      <c r="C148" s="21" t="s">
        <v>315</v>
      </c>
      <c r="D148" s="21" t="s">
        <v>66</v>
      </c>
      <c r="E148" s="23" t="s">
        <v>51</v>
      </c>
      <c r="F148" s="21" t="s">
        <v>21</v>
      </c>
      <c r="G148" s="24">
        <v>271</v>
      </c>
      <c r="H148" s="24">
        <v>57</v>
      </c>
      <c r="I148" s="24">
        <v>139.6</v>
      </c>
      <c r="J148" s="24">
        <v>1970</v>
      </c>
      <c r="K148" s="24">
        <v>6</v>
      </c>
      <c r="L148" s="25">
        <v>436.4</v>
      </c>
      <c r="M148" s="25">
        <f>IF(OR($K148="",$L148=""),"",ROUND('⚙️ SUPUESTOS'!$C$14*'⚙️ SUPUESTOS'!$C$18*SQRT($L148)*$K148,0))</f>
        <v>1692</v>
      </c>
      <c r="N148" s="25">
        <v>1375</v>
      </c>
      <c r="O148" s="26">
        <v>41.649549999999998</v>
      </c>
      <c r="P148" s="26">
        <v>-4.7065599999999996</v>
      </c>
    </row>
    <row r="149" spans="1:16" ht="15" customHeight="1">
      <c r="A149" s="27">
        <f>IF($B149="","",COUNTA($B$4:B149))</f>
        <v>146</v>
      </c>
      <c r="B149" s="28" t="s">
        <v>316</v>
      </c>
      <c r="C149" s="27" t="s">
        <v>317</v>
      </c>
      <c r="D149" s="27" t="s">
        <v>66</v>
      </c>
      <c r="E149" s="29" t="s">
        <v>51</v>
      </c>
      <c r="F149" s="27" t="s">
        <v>21</v>
      </c>
      <c r="G149" s="30">
        <v>271</v>
      </c>
      <c r="H149" s="30">
        <v>56</v>
      </c>
      <c r="I149" s="30">
        <v>169.3</v>
      </c>
      <c r="J149" s="30">
        <v>1967</v>
      </c>
      <c r="K149" s="30">
        <v>5</v>
      </c>
      <c r="L149" s="31">
        <v>176.3</v>
      </c>
      <c r="M149" s="31">
        <f>IF(OR($K149="",$L149=""),"",ROUND('⚙️ SUPUESTOS'!$C$14*'⚙️ SUPUESTOS'!$C$18*SQRT($L149)*$K149,0))</f>
        <v>896</v>
      </c>
      <c r="N149" s="31">
        <v>1241</v>
      </c>
      <c r="O149" s="32">
        <v>41.64855</v>
      </c>
      <c r="P149" s="32">
        <v>-4.7068500000000002</v>
      </c>
    </row>
    <row r="150" spans="1:16" ht="15" customHeight="1">
      <c r="A150" s="21">
        <f>IF($B150="","",COUNTA($B$4:B150))</f>
        <v>147</v>
      </c>
      <c r="B150" s="22" t="s">
        <v>318</v>
      </c>
      <c r="C150" s="21" t="s">
        <v>230</v>
      </c>
      <c r="D150" s="21" t="s">
        <v>124</v>
      </c>
      <c r="E150" s="23" t="s">
        <v>51</v>
      </c>
      <c r="F150" s="21" t="s">
        <v>22</v>
      </c>
      <c r="G150" s="24">
        <v>219</v>
      </c>
      <c r="H150" s="24">
        <v>46</v>
      </c>
      <c r="I150" s="24">
        <v>109.2</v>
      </c>
      <c r="J150" s="24">
        <v>1969</v>
      </c>
      <c r="K150" s="24">
        <v>6</v>
      </c>
      <c r="L150" s="25">
        <v>312.8</v>
      </c>
      <c r="M150" s="25">
        <f>IF(OR($K150="",$L150=""),"",ROUND('⚙️ SUPUESTOS'!$C$14*'⚙️ SUPUESTOS'!$C$18*SQRT($L150)*$K150,0))</f>
        <v>1433</v>
      </c>
      <c r="N150" s="25">
        <v>1458</v>
      </c>
      <c r="O150" s="26">
        <v>41.648009999999999</v>
      </c>
      <c r="P150" s="26">
        <v>-4.7116400000000001</v>
      </c>
    </row>
    <row r="151" spans="1:16" ht="15" customHeight="1">
      <c r="A151" s="27">
        <f>IF($B151="","",COUNTA($B$4:B151))</f>
        <v>148</v>
      </c>
      <c r="B151" s="28" t="s">
        <v>319</v>
      </c>
      <c r="C151" s="27" t="s">
        <v>320</v>
      </c>
      <c r="D151" s="27" t="s">
        <v>66</v>
      </c>
      <c r="E151" s="29" t="s">
        <v>51</v>
      </c>
      <c r="F151" s="27" t="s">
        <v>21</v>
      </c>
      <c r="G151" s="30">
        <v>270</v>
      </c>
      <c r="H151" s="30">
        <v>57</v>
      </c>
      <c r="I151" s="30">
        <v>121.3</v>
      </c>
      <c r="J151" s="30">
        <v>1965</v>
      </c>
      <c r="K151" s="30">
        <v>3</v>
      </c>
      <c r="L151" s="31">
        <v>96.5</v>
      </c>
      <c r="M151" s="31">
        <f>IF(OR($K151="",$L151=""),"",ROUND('⚙️ SUPUESTOS'!$C$14*'⚙️ SUPUESTOS'!$C$18*SQRT($L151)*$K151,0))</f>
        <v>398</v>
      </c>
      <c r="N151" s="31">
        <v>1380</v>
      </c>
      <c r="O151" s="32">
        <v>41.649009999999997</v>
      </c>
      <c r="P151" s="32">
        <v>-4.7076200000000004</v>
      </c>
    </row>
    <row r="152" spans="1:16" ht="15" customHeight="1">
      <c r="A152" s="21">
        <f>IF($B152="","",COUNTA($B$4:B152))</f>
        <v>149</v>
      </c>
      <c r="B152" s="22" t="s">
        <v>321</v>
      </c>
      <c r="C152" s="21" t="s">
        <v>226</v>
      </c>
      <c r="D152" s="21" t="s">
        <v>124</v>
      </c>
      <c r="E152" s="23" t="s">
        <v>51</v>
      </c>
      <c r="F152" s="21" t="s">
        <v>21</v>
      </c>
      <c r="G152" s="24">
        <v>214</v>
      </c>
      <c r="H152" s="24">
        <v>45</v>
      </c>
      <c r="I152" s="24">
        <v>119.8</v>
      </c>
      <c r="J152" s="24">
        <v>1963</v>
      </c>
      <c r="K152" s="24">
        <v>5</v>
      </c>
      <c r="L152" s="25">
        <v>157</v>
      </c>
      <c r="M152" s="25">
        <f>IF(OR($K152="",$L152=""),"",ROUND('⚙️ SUPUESTOS'!$C$14*'⚙️ SUPUESTOS'!$C$18*SQRT($L152)*$K152,0))</f>
        <v>846</v>
      </c>
      <c r="N152" s="25">
        <v>1464</v>
      </c>
      <c r="O152" s="26">
        <v>41.648200000000003</v>
      </c>
      <c r="P152" s="26">
        <v>-4.7099399999999996</v>
      </c>
    </row>
    <row r="153" spans="1:16" ht="15" customHeight="1">
      <c r="A153" s="27">
        <f>IF($B153="","",COUNTA($B$4:B153))</f>
        <v>150</v>
      </c>
      <c r="B153" s="28" t="s">
        <v>322</v>
      </c>
      <c r="C153" s="27" t="s">
        <v>296</v>
      </c>
      <c r="D153" s="27" t="s">
        <v>207</v>
      </c>
      <c r="E153" s="29" t="s">
        <v>51</v>
      </c>
      <c r="F153" s="27" t="s">
        <v>21</v>
      </c>
      <c r="G153" s="30">
        <v>218</v>
      </c>
      <c r="H153" s="30">
        <v>46</v>
      </c>
      <c r="I153" s="30">
        <v>79.2</v>
      </c>
      <c r="J153" s="30">
        <v>1970</v>
      </c>
      <c r="K153" s="30">
        <v>6</v>
      </c>
      <c r="L153" s="31">
        <v>320.60000000000002</v>
      </c>
      <c r="M153" s="31">
        <f>IF(OR($K153="",$L153=""),"",ROUND('⚙️ SUPUESTOS'!$C$14*'⚙️ SUPUESTOS'!$C$18*SQRT($L153)*$K153,0))</f>
        <v>1450</v>
      </c>
      <c r="N153" s="31">
        <v>1425</v>
      </c>
      <c r="O153" s="32">
        <v>41.646610000000003</v>
      </c>
      <c r="P153" s="32">
        <v>-4.7086499999999996</v>
      </c>
    </row>
    <row r="154" spans="1:16" ht="15" customHeight="1">
      <c r="A154" s="21">
        <f>IF($B154="","",COUNTA($B$4:B154))</f>
        <v>151</v>
      </c>
      <c r="B154" s="22" t="s">
        <v>323</v>
      </c>
      <c r="C154" s="21" t="s">
        <v>324</v>
      </c>
      <c r="D154" s="21" t="s">
        <v>124</v>
      </c>
      <c r="E154" s="23" t="s">
        <v>51</v>
      </c>
      <c r="F154" s="21" t="s">
        <v>21</v>
      </c>
      <c r="G154" s="24">
        <v>211</v>
      </c>
      <c r="H154" s="24">
        <v>44.5</v>
      </c>
      <c r="I154" s="24">
        <v>107.3</v>
      </c>
      <c r="J154" s="24">
        <v>1977</v>
      </c>
      <c r="K154" s="24">
        <v>7</v>
      </c>
      <c r="L154" s="25">
        <v>927.7</v>
      </c>
      <c r="M154" s="25">
        <f>IF(OR($K154="",$L154=""),"",ROUND('⚙️ SUPUESTOS'!$C$14*'⚙️ SUPUESTOS'!$C$18*SQRT($L154)*$K154,0))</f>
        <v>2878</v>
      </c>
      <c r="N154" s="25">
        <v>1444</v>
      </c>
      <c r="O154" s="26">
        <v>41.648510000000002</v>
      </c>
      <c r="P154" s="26">
        <v>-4.7115600000000004</v>
      </c>
    </row>
    <row r="155" spans="1:16" ht="15" customHeight="1">
      <c r="A155" s="27">
        <f>IF($B155="","",COUNTA($B$4:B155))</f>
        <v>152</v>
      </c>
      <c r="B155" s="28" t="s">
        <v>325</v>
      </c>
      <c r="C155" s="27" t="s">
        <v>326</v>
      </c>
      <c r="D155" s="27" t="s">
        <v>207</v>
      </c>
      <c r="E155" s="29" t="s">
        <v>51</v>
      </c>
      <c r="F155" s="27" t="s">
        <v>21</v>
      </c>
      <c r="G155" s="30">
        <v>214</v>
      </c>
      <c r="H155" s="30">
        <v>45</v>
      </c>
      <c r="I155" s="30">
        <v>93.6</v>
      </c>
      <c r="J155" s="30">
        <v>1967</v>
      </c>
      <c r="K155" s="30">
        <v>6</v>
      </c>
      <c r="L155" s="31">
        <v>398.3</v>
      </c>
      <c r="M155" s="31">
        <f>IF(OR($K155="",$L155=""),"",ROUND('⚙️ SUPUESTOS'!$C$14*'⚙️ SUPUESTOS'!$C$18*SQRT($L155)*$K155,0))</f>
        <v>1617</v>
      </c>
      <c r="N155" s="31">
        <v>1332</v>
      </c>
      <c r="O155" s="32">
        <v>41.648119999999999</v>
      </c>
      <c r="P155" s="32">
        <v>-4.7096799999999996</v>
      </c>
    </row>
    <row r="156" spans="1:16" ht="15" customHeight="1">
      <c r="A156" s="21">
        <f>IF($B156="","",COUNTA($B$4:B156))</f>
        <v>153</v>
      </c>
      <c r="B156" s="22" t="s">
        <v>327</v>
      </c>
      <c r="C156" s="21" t="s">
        <v>328</v>
      </c>
      <c r="D156" s="21" t="s">
        <v>194</v>
      </c>
      <c r="E156" s="23" t="s">
        <v>51</v>
      </c>
      <c r="F156" s="21" t="s">
        <v>19</v>
      </c>
      <c r="G156" s="24">
        <v>339</v>
      </c>
      <c r="H156" s="24">
        <v>72</v>
      </c>
      <c r="I156" s="24">
        <v>162.69999999999999</v>
      </c>
      <c r="J156" s="24">
        <v>1969</v>
      </c>
      <c r="K156" s="24">
        <v>5</v>
      </c>
      <c r="L156" s="25">
        <v>343.2</v>
      </c>
      <c r="M156" s="25">
        <f>IF(OR($K156="",$L156=""),"",ROUND('⚙️ SUPUESTOS'!$C$14*'⚙️ SUPUESTOS'!$C$18*SQRT($L156)*$K156,0))</f>
        <v>1250</v>
      </c>
      <c r="N156" s="25">
        <v>1259</v>
      </c>
      <c r="O156" s="26">
        <v>41.646372999999997</v>
      </c>
      <c r="P156" s="26">
        <v>-4.707973</v>
      </c>
    </row>
    <row r="157" spans="1:16" ht="15" customHeight="1">
      <c r="A157" s="27">
        <f>IF($B157="","",COUNTA($B$4:B157))</f>
        <v>154</v>
      </c>
      <c r="B157" s="28" t="s">
        <v>329</v>
      </c>
      <c r="C157" s="27" t="s">
        <v>281</v>
      </c>
      <c r="D157" s="27" t="s">
        <v>66</v>
      </c>
      <c r="E157" s="29" t="s">
        <v>51</v>
      </c>
      <c r="F157" s="27" t="s">
        <v>21</v>
      </c>
      <c r="G157" s="30">
        <v>257</v>
      </c>
      <c r="H157" s="30">
        <v>54.5</v>
      </c>
      <c r="I157" s="30">
        <v>125.4</v>
      </c>
      <c r="J157" s="30">
        <v>1971</v>
      </c>
      <c r="K157" s="30">
        <v>6</v>
      </c>
      <c r="L157" s="31">
        <v>482.4</v>
      </c>
      <c r="M157" s="31">
        <f>IF(OR($K157="",$L157=""),"",ROUND('⚙️ SUPUESTOS'!$C$14*'⚙️ SUPUESTOS'!$C$18*SQRT($L157)*$K157,0))</f>
        <v>1779</v>
      </c>
      <c r="N157" s="31">
        <v>1451</v>
      </c>
      <c r="O157" s="32">
        <v>41.650742999999999</v>
      </c>
      <c r="P157" s="32">
        <v>-4.7081650000000002</v>
      </c>
    </row>
    <row r="158" spans="1:16" ht="15" customHeight="1">
      <c r="A158" s="21">
        <f>IF($B158="","",COUNTA($B$4:B158))</f>
        <v>155</v>
      </c>
      <c r="B158" s="22" t="s">
        <v>330</v>
      </c>
      <c r="C158" s="21" t="s">
        <v>331</v>
      </c>
      <c r="D158" s="21" t="s">
        <v>66</v>
      </c>
      <c r="E158" s="23" t="s">
        <v>51</v>
      </c>
      <c r="F158" s="21" t="s">
        <v>20</v>
      </c>
      <c r="G158" s="24">
        <v>257</v>
      </c>
      <c r="H158" s="24">
        <v>54</v>
      </c>
      <c r="I158" s="24">
        <v>126</v>
      </c>
      <c r="J158" s="24">
        <v>1978</v>
      </c>
      <c r="K158" s="24">
        <v>5</v>
      </c>
      <c r="L158" s="25">
        <v>650.6</v>
      </c>
      <c r="M158" s="25">
        <f>IF(OR($K158="",$L158=""),"",ROUND('⚙️ SUPUESTOS'!$C$14*'⚙️ SUPUESTOS'!$C$18*SQRT($L158)*$K158,0))</f>
        <v>1722</v>
      </c>
      <c r="N158" s="25">
        <v>1335</v>
      </c>
      <c r="O158" s="26">
        <v>41.648989999999998</v>
      </c>
      <c r="P158" s="26">
        <v>-4.7061700000000002</v>
      </c>
    </row>
    <row r="159" spans="1:16" ht="15" customHeight="1">
      <c r="A159" s="27">
        <f>IF($B159="","",COUNTA($B$4:B159))</f>
        <v>156</v>
      </c>
      <c r="B159" s="28" t="s">
        <v>332</v>
      </c>
      <c r="C159" s="27" t="s">
        <v>290</v>
      </c>
      <c r="D159" s="27" t="s">
        <v>207</v>
      </c>
      <c r="E159" s="29" t="s">
        <v>51</v>
      </c>
      <c r="F159" s="27" t="s">
        <v>21</v>
      </c>
      <c r="G159" s="30">
        <v>210</v>
      </c>
      <c r="H159" s="30">
        <v>39</v>
      </c>
      <c r="I159" s="30">
        <v>89.4</v>
      </c>
      <c r="J159" s="30">
        <v>1967</v>
      </c>
      <c r="K159" s="30">
        <v>6</v>
      </c>
      <c r="L159" s="31">
        <v>318.8</v>
      </c>
      <c r="M159" s="31">
        <f>IF(OR($K159="",$L159=""),"",ROUND('⚙️ SUPUESTOS'!$C$14*'⚙️ SUPUESTOS'!$C$18*SQRT($L159)*$K159,0))</f>
        <v>1446</v>
      </c>
      <c r="N159" s="31">
        <v>1515</v>
      </c>
      <c r="O159" s="32">
        <v>41.647419999999997</v>
      </c>
      <c r="P159" s="32">
        <v>-4.7096499999999999</v>
      </c>
    </row>
    <row r="160" spans="1:16" ht="15" customHeight="1">
      <c r="A160" s="21">
        <f>IF($B160="","",COUNTA($B$4:B160))</f>
        <v>157</v>
      </c>
      <c r="B160" s="22" t="s">
        <v>333</v>
      </c>
      <c r="C160" s="21" t="s">
        <v>298</v>
      </c>
      <c r="D160" s="21" t="s">
        <v>66</v>
      </c>
      <c r="E160" s="23" t="s">
        <v>51</v>
      </c>
      <c r="F160" s="21" t="s">
        <v>21</v>
      </c>
      <c r="G160" s="24">
        <v>255</v>
      </c>
      <c r="H160" s="24">
        <v>56.5</v>
      </c>
      <c r="I160" s="24">
        <v>128.1</v>
      </c>
      <c r="J160" s="24">
        <v>1969</v>
      </c>
      <c r="K160" s="24">
        <v>6</v>
      </c>
      <c r="L160" s="25">
        <v>573</v>
      </c>
      <c r="M160" s="25">
        <f>IF(OR($K160="",$L160=""),"",ROUND('⚙️ SUPUESTOS'!$C$14*'⚙️ SUPUESTOS'!$C$18*SQRT($L160)*$K160,0))</f>
        <v>1939</v>
      </c>
      <c r="N160" s="25">
        <v>1356</v>
      </c>
      <c r="O160" s="26">
        <v>41.649759000000003</v>
      </c>
      <c r="P160" s="26">
        <v>-4.7073099999999997</v>
      </c>
    </row>
    <row r="161" spans="1:16" ht="15" customHeight="1">
      <c r="A161" s="27">
        <f>IF($B161="","",COUNTA($B$4:B161))</f>
        <v>158</v>
      </c>
      <c r="B161" s="28" t="s">
        <v>334</v>
      </c>
      <c r="C161" s="27" t="s">
        <v>226</v>
      </c>
      <c r="D161" s="27" t="s">
        <v>124</v>
      </c>
      <c r="E161" s="29" t="s">
        <v>51</v>
      </c>
      <c r="F161" s="27" t="s">
        <v>21</v>
      </c>
      <c r="G161" s="30">
        <v>203</v>
      </c>
      <c r="H161" s="30">
        <v>43</v>
      </c>
      <c r="I161" s="30">
        <v>98.8</v>
      </c>
      <c r="J161" s="30">
        <v>1963</v>
      </c>
      <c r="K161" s="30">
        <v>5</v>
      </c>
      <c r="L161" s="31">
        <v>157</v>
      </c>
      <c r="M161" s="31">
        <f>IF(OR($K161="",$L161=""),"",ROUND('⚙️ SUPUESTOS'!$C$14*'⚙️ SUPUESTOS'!$C$18*SQRT($L161)*$K161,0))</f>
        <v>846</v>
      </c>
      <c r="N161" s="31">
        <v>1464</v>
      </c>
      <c r="O161" s="32">
        <v>41.648176999999997</v>
      </c>
      <c r="P161" s="32">
        <v>-4.710032</v>
      </c>
    </row>
    <row r="162" spans="1:16" ht="15" customHeight="1">
      <c r="A162" s="21">
        <f>IF($B162="","",COUNTA($B$4:B162))</f>
        <v>159</v>
      </c>
      <c r="B162" s="22" t="s">
        <v>335</v>
      </c>
      <c r="C162" s="21" t="s">
        <v>230</v>
      </c>
      <c r="D162" s="21" t="s">
        <v>124</v>
      </c>
      <c r="E162" s="23" t="s">
        <v>51</v>
      </c>
      <c r="F162" s="21" t="s">
        <v>21</v>
      </c>
      <c r="G162" s="24">
        <v>201</v>
      </c>
      <c r="H162" s="24">
        <v>41</v>
      </c>
      <c r="I162" s="24">
        <v>98.2</v>
      </c>
      <c r="J162" s="24">
        <v>1969</v>
      </c>
      <c r="K162" s="24">
        <v>6</v>
      </c>
      <c r="L162" s="25">
        <v>312.8</v>
      </c>
      <c r="M162" s="25">
        <f>IF(OR($K162="",$L162=""),"",ROUND('⚙️ SUPUESTOS'!$C$14*'⚙️ SUPUESTOS'!$C$18*SQRT($L162)*$K162,0))</f>
        <v>1433</v>
      </c>
      <c r="N162" s="25">
        <v>1458</v>
      </c>
      <c r="O162" s="26">
        <v>41.648130000000002</v>
      </c>
      <c r="P162" s="26">
        <v>-4.7115400000000003</v>
      </c>
    </row>
    <row r="163" spans="1:16" ht="15" customHeight="1">
      <c r="A163" s="27">
        <f>IF($B163="","",COUNTA($B$4:B163))</f>
        <v>160</v>
      </c>
      <c r="B163" s="28" t="s">
        <v>336</v>
      </c>
      <c r="C163" s="27" t="s">
        <v>337</v>
      </c>
      <c r="D163" s="27" t="s">
        <v>194</v>
      </c>
      <c r="E163" s="29" t="s">
        <v>51</v>
      </c>
      <c r="F163" s="27" t="s">
        <v>20</v>
      </c>
      <c r="G163" s="30">
        <v>331</v>
      </c>
      <c r="H163" s="30">
        <v>65</v>
      </c>
      <c r="I163" s="30">
        <v>151.9</v>
      </c>
      <c r="J163" s="30">
        <v>1965</v>
      </c>
      <c r="K163" s="30">
        <v>3</v>
      </c>
      <c r="L163" s="31">
        <v>111</v>
      </c>
      <c r="M163" s="31">
        <f>IF(OR($K163="",$L163=""),"",ROUND('⚙️ SUPUESTOS'!$C$14*'⚙️ SUPUESTOS'!$C$18*SQRT($L163)*$K163,0))</f>
        <v>427</v>
      </c>
      <c r="N163" s="31">
        <v>1441</v>
      </c>
      <c r="O163" s="32">
        <v>41.648530000000001</v>
      </c>
      <c r="P163" s="32">
        <v>-4.7084299999999999</v>
      </c>
    </row>
    <row r="164" spans="1:16" ht="15" customHeight="1">
      <c r="A164" s="21">
        <f>IF($B164="","",COUNTA($B$4:B164))</f>
        <v>161</v>
      </c>
      <c r="B164" s="22" t="s">
        <v>338</v>
      </c>
      <c r="C164" s="21" t="s">
        <v>339</v>
      </c>
      <c r="D164" s="21" t="s">
        <v>207</v>
      </c>
      <c r="E164" s="23" t="s">
        <v>51</v>
      </c>
      <c r="F164" s="21" t="s">
        <v>21</v>
      </c>
      <c r="G164" s="24">
        <v>204</v>
      </c>
      <c r="H164" s="24">
        <v>43.5</v>
      </c>
      <c r="I164" s="24">
        <v>88.6</v>
      </c>
      <c r="J164" s="24">
        <v>1970</v>
      </c>
      <c r="K164" s="24">
        <v>6</v>
      </c>
      <c r="L164" s="25">
        <v>307.2</v>
      </c>
      <c r="M164" s="25">
        <f>IF(OR($K164="",$L164=""),"",ROUND('⚙️ SUPUESTOS'!$C$14*'⚙️ SUPUESTOS'!$C$18*SQRT($L164)*$K164,0))</f>
        <v>1420</v>
      </c>
      <c r="N164" s="25">
        <v>1406</v>
      </c>
      <c r="O164" s="26">
        <v>41.646859999999997</v>
      </c>
      <c r="P164" s="26">
        <v>-4.7084400000000004</v>
      </c>
    </row>
    <row r="165" spans="1:16" ht="15" customHeight="1">
      <c r="A165" s="27">
        <f>IF($B165="","",COUNTA($B$4:B165))</f>
        <v>162</v>
      </c>
      <c r="B165" s="28" t="s">
        <v>340</v>
      </c>
      <c r="C165" s="27" t="s">
        <v>270</v>
      </c>
      <c r="D165" s="27" t="s">
        <v>124</v>
      </c>
      <c r="E165" s="29" t="s">
        <v>51</v>
      </c>
      <c r="F165" s="27" t="s">
        <v>21</v>
      </c>
      <c r="G165" s="30">
        <v>197</v>
      </c>
      <c r="H165" s="30">
        <v>42</v>
      </c>
      <c r="I165" s="30">
        <v>100</v>
      </c>
      <c r="J165" s="30">
        <v>1983</v>
      </c>
      <c r="K165" s="30">
        <v>6</v>
      </c>
      <c r="L165" s="31">
        <v>461.2</v>
      </c>
      <c r="M165" s="31">
        <f>IF(OR($K165="",$L165=""),"",ROUND('⚙️ SUPUESTOS'!$C$14*'⚙️ SUPUESTOS'!$C$18*SQRT($L165)*$K165,0))</f>
        <v>1740</v>
      </c>
      <c r="N165" s="31">
        <v>1384</v>
      </c>
      <c r="O165" s="32">
        <v>41.648235999999997</v>
      </c>
      <c r="P165" s="32">
        <v>-4.7105519999999999</v>
      </c>
    </row>
    <row r="166" spans="1:16" ht="15" customHeight="1">
      <c r="A166" s="21">
        <f>IF($B166="","",COUNTA($B$4:B166))</f>
        <v>163</v>
      </c>
      <c r="B166" s="22" t="s">
        <v>341</v>
      </c>
      <c r="C166" s="21" t="s">
        <v>342</v>
      </c>
      <c r="D166" s="21" t="s">
        <v>207</v>
      </c>
      <c r="E166" s="23" t="s">
        <v>51</v>
      </c>
      <c r="F166" s="21" t="s">
        <v>22</v>
      </c>
      <c r="G166" s="24">
        <v>199</v>
      </c>
      <c r="H166" s="24">
        <v>41</v>
      </c>
      <c r="I166" s="24">
        <v>116.7</v>
      </c>
      <c r="J166" s="24">
        <v>1965</v>
      </c>
      <c r="K166" s="24">
        <v>5</v>
      </c>
      <c r="L166" s="25">
        <v>158.19999999999999</v>
      </c>
      <c r="M166" s="25">
        <f>IF(OR($K166="",$L166=""),"",ROUND('⚙️ SUPUESTOS'!$C$14*'⚙️ SUPUESTOS'!$C$18*SQRT($L166)*$K166,0))</f>
        <v>849</v>
      </c>
      <c r="N166" s="25">
        <v>1351</v>
      </c>
      <c r="O166" s="26">
        <v>41.648150000000001</v>
      </c>
      <c r="P166" s="26">
        <v>-4.7094899999999997</v>
      </c>
    </row>
    <row r="167" spans="1:16" ht="15" customHeight="1">
      <c r="A167" s="27">
        <f>IF($B167="","",COUNTA($B$4:B167))</f>
        <v>164</v>
      </c>
      <c r="B167" s="28" t="s">
        <v>343</v>
      </c>
      <c r="C167" s="27" t="s">
        <v>344</v>
      </c>
      <c r="D167" s="27" t="s">
        <v>66</v>
      </c>
      <c r="E167" s="29" t="s">
        <v>51</v>
      </c>
      <c r="F167" s="27" t="s">
        <v>21</v>
      </c>
      <c r="G167" s="30">
        <v>244</v>
      </c>
      <c r="H167" s="30">
        <v>51</v>
      </c>
      <c r="I167" s="30">
        <v>116.7</v>
      </c>
      <c r="J167" s="30">
        <v>1970</v>
      </c>
      <c r="K167" s="30">
        <v>5</v>
      </c>
      <c r="L167" s="31">
        <v>693</v>
      </c>
      <c r="M167" s="31">
        <f>IF(OR($K167="",$L167=""),"",ROUND('⚙️ SUPUESTOS'!$C$14*'⚙️ SUPUESTOS'!$C$18*SQRT($L167)*$K167,0))</f>
        <v>1777</v>
      </c>
      <c r="N167" s="31">
        <v>1370</v>
      </c>
      <c r="O167" s="32">
        <v>41.648879999999998</v>
      </c>
      <c r="P167" s="32">
        <v>-4.7062099999999996</v>
      </c>
    </row>
    <row r="168" spans="1:16" ht="15" customHeight="1">
      <c r="A168" s="21">
        <f>IF($B168="","",COUNTA($B$4:B168))</f>
        <v>165</v>
      </c>
      <c r="B168" s="22" t="s">
        <v>345</v>
      </c>
      <c r="C168" s="21" t="s">
        <v>346</v>
      </c>
      <c r="D168" s="21" t="s">
        <v>66</v>
      </c>
      <c r="E168" s="23" t="s">
        <v>51</v>
      </c>
      <c r="F168" s="21" t="s">
        <v>21</v>
      </c>
      <c r="G168" s="24">
        <v>243</v>
      </c>
      <c r="H168" s="24">
        <v>51</v>
      </c>
      <c r="I168" s="24">
        <v>105.8</v>
      </c>
      <c r="J168" s="24">
        <v>1999</v>
      </c>
      <c r="K168" s="24">
        <v>4</v>
      </c>
      <c r="L168" s="25">
        <v>352.9</v>
      </c>
      <c r="M168" s="25">
        <f>IF(OR($K168="",$L168=""),"",ROUND('⚙️ SUPUESTOS'!$C$14*'⚙️ SUPUESTOS'!$C$18*SQRT($L168)*$K168,0))</f>
        <v>1014</v>
      </c>
      <c r="N168" s="25">
        <v>1267</v>
      </c>
      <c r="O168" s="26">
        <v>41.64893</v>
      </c>
      <c r="P168" s="26">
        <v>-4.7070699999999999</v>
      </c>
    </row>
    <row r="169" spans="1:16" ht="15" customHeight="1">
      <c r="A169" s="27">
        <f>IF($B169="","",COUNTA($B$4:B169))</f>
        <v>166</v>
      </c>
      <c r="B169" s="28" t="s">
        <v>347</v>
      </c>
      <c r="C169" s="27" t="s">
        <v>348</v>
      </c>
      <c r="D169" s="27" t="s">
        <v>194</v>
      </c>
      <c r="E169" s="29" t="s">
        <v>51</v>
      </c>
      <c r="F169" s="27" t="s">
        <v>20</v>
      </c>
      <c r="G169" s="30">
        <v>323</v>
      </c>
      <c r="H169" s="30">
        <v>68</v>
      </c>
      <c r="I169" s="30">
        <v>158.80000000000001</v>
      </c>
      <c r="J169" s="30">
        <v>1965</v>
      </c>
      <c r="K169" s="30">
        <v>3</v>
      </c>
      <c r="L169" s="31">
        <v>112</v>
      </c>
      <c r="M169" s="31">
        <f>IF(OR($K169="",$L169=""),"",ROUND('⚙️ SUPUESTOS'!$C$14*'⚙️ SUPUESTOS'!$C$18*SQRT($L169)*$K169,0))</f>
        <v>429</v>
      </c>
      <c r="N169" s="31">
        <v>1346</v>
      </c>
      <c r="O169" s="32">
        <v>41.648670000000003</v>
      </c>
      <c r="P169" s="32">
        <v>-4.7083399999999997</v>
      </c>
    </row>
    <row r="170" spans="1:16" ht="15" customHeight="1">
      <c r="A170" s="21">
        <f>IF($B170="","",COUNTA($B$4:B170))</f>
        <v>167</v>
      </c>
      <c r="B170" s="22" t="s">
        <v>349</v>
      </c>
      <c r="C170" s="21" t="s">
        <v>350</v>
      </c>
      <c r="D170" s="21" t="s">
        <v>66</v>
      </c>
      <c r="E170" s="23" t="s">
        <v>51</v>
      </c>
      <c r="F170" s="21" t="s">
        <v>21</v>
      </c>
      <c r="G170" s="24">
        <v>242</v>
      </c>
      <c r="H170" s="24">
        <v>58</v>
      </c>
      <c r="I170" s="24">
        <v>118.5</v>
      </c>
      <c r="J170" s="24">
        <v>1969</v>
      </c>
      <c r="K170" s="24">
        <v>6</v>
      </c>
      <c r="L170" s="25">
        <v>621.70000000000005</v>
      </c>
      <c r="M170" s="25">
        <f>IF(OR($K170="",$L170=""),"",ROUND('⚙️ SUPUESTOS'!$C$14*'⚙️ SUPUESTOS'!$C$18*SQRT($L170)*$K170,0))</f>
        <v>2020</v>
      </c>
      <c r="N170" s="25">
        <v>1381</v>
      </c>
      <c r="O170" s="26">
        <v>41.649340000000002</v>
      </c>
      <c r="P170" s="26">
        <v>-4.7069000000000001</v>
      </c>
    </row>
    <row r="171" spans="1:16" ht="15" customHeight="1">
      <c r="A171" s="27">
        <f>IF($B171="","",COUNTA($B$4:B171))</f>
        <v>168</v>
      </c>
      <c r="B171" s="28" t="s">
        <v>351</v>
      </c>
      <c r="C171" s="27" t="s">
        <v>352</v>
      </c>
      <c r="D171" s="27" t="s">
        <v>66</v>
      </c>
      <c r="E171" s="29" t="s">
        <v>51</v>
      </c>
      <c r="F171" s="27" t="s">
        <v>21</v>
      </c>
      <c r="G171" s="30">
        <v>241</v>
      </c>
      <c r="H171" s="30">
        <v>48</v>
      </c>
      <c r="I171" s="30">
        <v>132</v>
      </c>
      <c r="J171" s="30">
        <v>1970</v>
      </c>
      <c r="K171" s="30">
        <v>7</v>
      </c>
      <c r="L171" s="31">
        <v>821</v>
      </c>
      <c r="M171" s="31">
        <f>IF(OR($K171="",$L171=""),"",ROUND('⚙️ SUPUESTOS'!$C$14*'⚙️ SUPUESTOS'!$C$18*SQRT($L171)*$K171,0))</f>
        <v>2708</v>
      </c>
      <c r="N171" s="31">
        <v>1457</v>
      </c>
      <c r="O171" s="32">
        <v>41.649169999999998</v>
      </c>
      <c r="P171" s="32">
        <v>-4.7068700000000003</v>
      </c>
    </row>
    <row r="172" spans="1:16" ht="15" customHeight="1">
      <c r="A172" s="21">
        <f>IF($B172="","",COUNTA($B$4:B172))</f>
        <v>169</v>
      </c>
      <c r="B172" s="22" t="s">
        <v>353</v>
      </c>
      <c r="C172" s="21" t="s">
        <v>354</v>
      </c>
      <c r="D172" s="21" t="s">
        <v>207</v>
      </c>
      <c r="E172" s="23" t="s">
        <v>51</v>
      </c>
      <c r="F172" s="21" t="s">
        <v>21</v>
      </c>
      <c r="G172" s="24">
        <v>193</v>
      </c>
      <c r="H172" s="24">
        <v>40.5</v>
      </c>
      <c r="I172" s="24">
        <v>101</v>
      </c>
      <c r="J172" s="24">
        <v>1968</v>
      </c>
      <c r="K172" s="24">
        <v>6</v>
      </c>
      <c r="L172" s="25">
        <v>210.6</v>
      </c>
      <c r="M172" s="25">
        <f>IF(OR($K172="",$L172=""),"",ROUND('⚙️ SUPUESTOS'!$C$14*'⚙️ SUPUESTOS'!$C$18*SQRT($L172)*$K172,0))</f>
        <v>1175</v>
      </c>
      <c r="N172" s="25">
        <v>1459</v>
      </c>
      <c r="O172" s="26">
        <v>41.647129999999997</v>
      </c>
      <c r="P172" s="26">
        <v>-4.7098599999999999</v>
      </c>
    </row>
    <row r="173" spans="1:16" ht="15" customHeight="1">
      <c r="A173" s="27">
        <f>IF($B173="","",COUNTA($B$4:B173))</f>
        <v>170</v>
      </c>
      <c r="B173" s="28" t="s">
        <v>355</v>
      </c>
      <c r="C173" s="27" t="s">
        <v>356</v>
      </c>
      <c r="D173" s="27" t="s">
        <v>207</v>
      </c>
      <c r="E173" s="29" t="s">
        <v>51</v>
      </c>
      <c r="F173" s="27" t="s">
        <v>21</v>
      </c>
      <c r="G173" s="30">
        <v>192</v>
      </c>
      <c r="H173" s="30">
        <v>40</v>
      </c>
      <c r="I173" s="30">
        <v>100</v>
      </c>
      <c r="J173" s="30">
        <v>1969</v>
      </c>
      <c r="K173" s="30">
        <v>6</v>
      </c>
      <c r="L173" s="31">
        <v>271.7</v>
      </c>
      <c r="M173" s="31">
        <f>IF(OR($K173="",$L173=""),"",ROUND('⚙️ SUPUESTOS'!$C$14*'⚙️ SUPUESTOS'!$C$18*SQRT($L173)*$K173,0))</f>
        <v>1335</v>
      </c>
      <c r="N173" s="31">
        <v>1496</v>
      </c>
      <c r="O173" s="32">
        <v>41.647170000000003</v>
      </c>
      <c r="P173" s="32">
        <v>-4.7102700000000004</v>
      </c>
    </row>
    <row r="174" spans="1:16" ht="15" customHeight="1">
      <c r="A174" s="21">
        <f>IF($B174="","",COUNTA($B$4:B174))</f>
        <v>171</v>
      </c>
      <c r="B174" s="22" t="s">
        <v>357</v>
      </c>
      <c r="C174" s="21" t="s">
        <v>358</v>
      </c>
      <c r="D174" s="21" t="s">
        <v>194</v>
      </c>
      <c r="E174" s="23" t="s">
        <v>51</v>
      </c>
      <c r="F174" s="21" t="s">
        <v>19</v>
      </c>
      <c r="G174" s="24">
        <v>315</v>
      </c>
      <c r="H174" s="24">
        <v>66</v>
      </c>
      <c r="I174" s="24">
        <v>176.4</v>
      </c>
      <c r="J174" s="24">
        <v>1963</v>
      </c>
      <c r="K174" s="24">
        <v>5</v>
      </c>
      <c r="L174" s="25">
        <v>316.10000000000002</v>
      </c>
      <c r="M174" s="25">
        <f>IF(OR($K174="",$L174=""),"",ROUND('⚙️ SUPUESTOS'!$C$14*'⚙️ SUPUESTOS'!$C$18*SQRT($L174)*$K174,0))</f>
        <v>1200</v>
      </c>
      <c r="N174" s="25">
        <v>1423</v>
      </c>
      <c r="O174" s="26">
        <v>41.647599999999997</v>
      </c>
      <c r="P174" s="26">
        <v>-4.7080200000000003</v>
      </c>
    </row>
    <row r="175" spans="1:16" ht="15" customHeight="1">
      <c r="A175" s="27">
        <f>IF($B175="","",COUNTA($B$4:B175))</f>
        <v>172</v>
      </c>
      <c r="B175" s="28" t="s">
        <v>359</v>
      </c>
      <c r="C175" s="27" t="s">
        <v>360</v>
      </c>
      <c r="D175" s="27" t="s">
        <v>207</v>
      </c>
      <c r="E175" s="29" t="s">
        <v>51</v>
      </c>
      <c r="F175" s="27" t="s">
        <v>21</v>
      </c>
      <c r="G175" s="30">
        <v>187</v>
      </c>
      <c r="H175" s="30">
        <v>39.5</v>
      </c>
      <c r="I175" s="30">
        <v>104.3</v>
      </c>
      <c r="J175" s="30">
        <v>1969</v>
      </c>
      <c r="K175" s="30">
        <v>6</v>
      </c>
      <c r="L175" s="31">
        <v>331.4</v>
      </c>
      <c r="M175" s="31">
        <f>IF(OR($K175="",$L175=""),"",ROUND('⚙️ SUPUESTOS'!$C$14*'⚙️ SUPUESTOS'!$C$18*SQRT($L175)*$K175,0))</f>
        <v>1475</v>
      </c>
      <c r="N175" s="31">
        <v>1348</v>
      </c>
      <c r="O175" s="32">
        <v>41.647370000000002</v>
      </c>
      <c r="P175" s="32">
        <v>-4.7080099999999998</v>
      </c>
    </row>
    <row r="176" spans="1:16" ht="15" customHeight="1">
      <c r="A176" s="21">
        <f>IF($B176="","",COUNTA($B$4:B176))</f>
        <v>173</v>
      </c>
      <c r="B176" s="22" t="s">
        <v>361</v>
      </c>
      <c r="C176" s="21" t="s">
        <v>324</v>
      </c>
      <c r="D176" s="21" t="s">
        <v>124</v>
      </c>
      <c r="E176" s="23" t="s">
        <v>51</v>
      </c>
      <c r="F176" s="21" t="s">
        <v>21</v>
      </c>
      <c r="G176" s="24">
        <v>182</v>
      </c>
      <c r="H176" s="24">
        <v>38</v>
      </c>
      <c r="I176" s="24">
        <v>92.5</v>
      </c>
      <c r="J176" s="24">
        <v>1977</v>
      </c>
      <c r="K176" s="24">
        <v>7</v>
      </c>
      <c r="L176" s="25">
        <v>927.7</v>
      </c>
      <c r="M176" s="25">
        <f>IF(OR($K176="",$L176=""),"",ROUND('⚙️ SUPUESTOS'!$C$14*'⚙️ SUPUESTOS'!$C$18*SQRT($L176)*$K176,0))</f>
        <v>2878</v>
      </c>
      <c r="N176" s="25">
        <v>1444</v>
      </c>
      <c r="O176" s="26">
        <v>41.648940000000003</v>
      </c>
      <c r="P176" s="26">
        <v>-4.7112299999999996</v>
      </c>
    </row>
    <row r="177" spans="1:16" ht="15" customHeight="1">
      <c r="A177" s="27">
        <f>IF($B177="","",COUNTA($B$4:B177))</f>
        <v>174</v>
      </c>
      <c r="B177" s="28" t="s">
        <v>362</v>
      </c>
      <c r="C177" s="27" t="s">
        <v>363</v>
      </c>
      <c r="D177" s="27" t="s">
        <v>194</v>
      </c>
      <c r="E177" s="29" t="s">
        <v>51</v>
      </c>
      <c r="F177" s="27" t="s">
        <v>19</v>
      </c>
      <c r="G177" s="30">
        <v>312</v>
      </c>
      <c r="H177" s="30">
        <v>64</v>
      </c>
      <c r="I177" s="30">
        <v>148.80000000000001</v>
      </c>
      <c r="J177" s="30">
        <v>1969</v>
      </c>
      <c r="K177" s="30">
        <v>6</v>
      </c>
      <c r="L177" s="31">
        <v>556.6</v>
      </c>
      <c r="M177" s="31">
        <f>IF(OR($K177="",$L177=""),"",ROUND('⚙️ SUPUESTOS'!$C$14*'⚙️ SUPUESTOS'!$C$18*SQRT($L177)*$K177,0))</f>
        <v>1911</v>
      </c>
      <c r="N177" s="31">
        <v>1359</v>
      </c>
      <c r="O177" s="32">
        <v>41.646920000000001</v>
      </c>
      <c r="P177" s="32">
        <v>-4.7081600000000003</v>
      </c>
    </row>
    <row r="178" spans="1:16" ht="15" customHeight="1">
      <c r="A178" s="21">
        <f>IF($B178="","",COUNTA($B$4:B178))</f>
        <v>175</v>
      </c>
      <c r="B178" s="22" t="s">
        <v>364</v>
      </c>
      <c r="C178" s="21" t="s">
        <v>365</v>
      </c>
      <c r="D178" s="21" t="s">
        <v>194</v>
      </c>
      <c r="E178" s="23" t="s">
        <v>51</v>
      </c>
      <c r="F178" s="21" t="s">
        <v>21</v>
      </c>
      <c r="G178" s="24">
        <v>311</v>
      </c>
      <c r="H178" s="24">
        <v>58.5</v>
      </c>
      <c r="I178" s="24">
        <v>174.8</v>
      </c>
      <c r="J178" s="24">
        <v>1965</v>
      </c>
      <c r="K178" s="24">
        <v>3</v>
      </c>
      <c r="L178" s="25">
        <v>109.2</v>
      </c>
      <c r="M178" s="25">
        <f>IF(OR($K178="",$L178=""),"",ROUND('⚙️ SUPUESTOS'!$C$14*'⚙️ SUPUESTOS'!$C$18*SQRT($L178)*$K178,0))</f>
        <v>423</v>
      </c>
      <c r="N178" s="25">
        <v>1456</v>
      </c>
      <c r="O178" s="26">
        <v>41.648650000000004</v>
      </c>
      <c r="P178" s="26">
        <v>-4.7078600000000002</v>
      </c>
    </row>
    <row r="179" spans="1:16" ht="15" customHeight="1">
      <c r="A179" s="27">
        <f>IF($B179="","",COUNTA($B$4:B179))</f>
        <v>176</v>
      </c>
      <c r="B179" s="28" t="s">
        <v>366</v>
      </c>
      <c r="C179" s="27" t="s">
        <v>367</v>
      </c>
      <c r="D179" s="27" t="s">
        <v>66</v>
      </c>
      <c r="E179" s="29" t="s">
        <v>51</v>
      </c>
      <c r="F179" s="27" t="s">
        <v>21</v>
      </c>
      <c r="G179" s="30">
        <v>231</v>
      </c>
      <c r="H179" s="30">
        <v>49</v>
      </c>
      <c r="I179" s="30">
        <v>113.3</v>
      </c>
      <c r="J179" s="30">
        <v>1970</v>
      </c>
      <c r="K179" s="30">
        <v>6</v>
      </c>
      <c r="L179" s="31">
        <v>381.5</v>
      </c>
      <c r="M179" s="31">
        <f>IF(OR($K179="",$L179=""),"",ROUND('⚙️ SUPUESTOS'!$C$14*'⚙️ SUPUESTOS'!$C$18*SQRT($L179)*$K179,0))</f>
        <v>1582</v>
      </c>
      <c r="N179" s="31">
        <v>1410</v>
      </c>
      <c r="O179" s="32">
        <v>41.64911</v>
      </c>
      <c r="P179" s="32">
        <v>-4.70709</v>
      </c>
    </row>
    <row r="180" spans="1:16" ht="15" customHeight="1">
      <c r="A180" s="21">
        <f>IF($B180="","",COUNTA($B$4:B180))</f>
        <v>177</v>
      </c>
      <c r="B180" s="22" t="s">
        <v>368</v>
      </c>
      <c r="C180" s="21" t="s">
        <v>369</v>
      </c>
      <c r="D180" s="21" t="s">
        <v>66</v>
      </c>
      <c r="E180" s="23" t="s">
        <v>51</v>
      </c>
      <c r="F180" s="21" t="s">
        <v>21</v>
      </c>
      <c r="G180" s="24">
        <v>225</v>
      </c>
      <c r="H180" s="24">
        <v>48</v>
      </c>
      <c r="I180" s="24">
        <v>104.2</v>
      </c>
      <c r="J180" s="24">
        <v>1970</v>
      </c>
      <c r="K180" s="24">
        <v>6</v>
      </c>
      <c r="L180" s="25">
        <v>741.6</v>
      </c>
      <c r="M180" s="25">
        <f>IF(OR($K180="",$L180=""),"",ROUND('⚙️ SUPUESTOS'!$C$14*'⚙️ SUPUESTOS'!$C$18*SQRT($L180)*$K180,0))</f>
        <v>2206</v>
      </c>
      <c r="N180" s="25">
        <v>1349</v>
      </c>
      <c r="O180" s="26">
        <v>41.649810000000002</v>
      </c>
      <c r="P180" s="26">
        <v>-4.70634</v>
      </c>
    </row>
    <row r="181" spans="1:16" ht="15" customHeight="1">
      <c r="A181" s="27">
        <f>IF($B181="","",COUNTA($B$4:B181))</f>
        <v>178</v>
      </c>
      <c r="B181" s="28" t="s">
        <v>370</v>
      </c>
      <c r="C181" s="27" t="s">
        <v>371</v>
      </c>
      <c r="D181" s="27" t="s">
        <v>194</v>
      </c>
      <c r="E181" s="29" t="s">
        <v>51</v>
      </c>
      <c r="F181" s="27" t="s">
        <v>20</v>
      </c>
      <c r="G181" s="30">
        <v>304</v>
      </c>
      <c r="H181" s="30">
        <v>64</v>
      </c>
      <c r="I181" s="30">
        <v>155.5</v>
      </c>
      <c r="J181" s="30">
        <v>1969</v>
      </c>
      <c r="K181" s="30">
        <v>4</v>
      </c>
      <c r="L181" s="31">
        <v>556.1</v>
      </c>
      <c r="M181" s="31">
        <f>IF(OR($K181="",$L181=""),"",ROUND('⚙️ SUPUESTOS'!$C$14*'⚙️ SUPUESTOS'!$C$18*SQRT($L181)*$K181,0))</f>
        <v>1273</v>
      </c>
      <c r="N181" s="31">
        <v>1437</v>
      </c>
      <c r="O181" s="32">
        <v>41.647280000000002</v>
      </c>
      <c r="P181" s="32">
        <v>-4.7069999999999999</v>
      </c>
    </row>
    <row r="182" spans="1:16" ht="15" customHeight="1">
      <c r="A182" s="21">
        <f>IF($B182="","",COUNTA($B$4:B182))</f>
        <v>179</v>
      </c>
      <c r="B182" s="22" t="s">
        <v>372</v>
      </c>
      <c r="C182" s="21" t="s">
        <v>373</v>
      </c>
      <c r="D182" s="21" t="s">
        <v>66</v>
      </c>
      <c r="E182" s="23" t="s">
        <v>51</v>
      </c>
      <c r="F182" s="21" t="s">
        <v>21</v>
      </c>
      <c r="G182" s="24">
        <v>223</v>
      </c>
      <c r="H182" s="24">
        <v>47</v>
      </c>
      <c r="I182" s="24">
        <v>102.5</v>
      </c>
      <c r="J182" s="24">
        <v>1963</v>
      </c>
      <c r="K182" s="24">
        <v>3</v>
      </c>
      <c r="L182" s="25">
        <v>195.8</v>
      </c>
      <c r="M182" s="25">
        <f>IF(OR($K182="",$L182=""),"",ROUND('⚙️ SUPUESTOS'!$C$14*'⚙️ SUPUESTOS'!$C$18*SQRT($L182)*$K182,0))</f>
        <v>567</v>
      </c>
      <c r="N182" s="25">
        <v>1317</v>
      </c>
      <c r="O182" s="26">
        <v>41.648629999999997</v>
      </c>
      <c r="P182" s="26">
        <v>-4.7070499999999997</v>
      </c>
    </row>
    <row r="183" spans="1:16" ht="15" customHeight="1">
      <c r="A183" s="27">
        <f>IF($B183="","",COUNTA($B$4:B183))</f>
        <v>180</v>
      </c>
      <c r="B183" s="28" t="s">
        <v>374</v>
      </c>
      <c r="C183" s="27" t="s">
        <v>375</v>
      </c>
      <c r="D183" s="27" t="s">
        <v>66</v>
      </c>
      <c r="E183" s="29" t="s">
        <v>51</v>
      </c>
      <c r="F183" s="27" t="s">
        <v>21</v>
      </c>
      <c r="G183" s="30">
        <v>217</v>
      </c>
      <c r="H183" s="30">
        <v>42</v>
      </c>
      <c r="I183" s="30">
        <v>104.2</v>
      </c>
      <c r="J183" s="30">
        <v>1968</v>
      </c>
      <c r="K183" s="30">
        <v>0</v>
      </c>
      <c r="L183" s="31">
        <v>736.5</v>
      </c>
      <c r="M183" s="31">
        <f>IF(OR($K183="",$L183=""),"",ROUND('⚙️ SUPUESTOS'!$C$14*'⚙️ SUPUESTOS'!$C$18*SQRT($L183)*$K183,0))</f>
        <v>0</v>
      </c>
      <c r="N183" s="31">
        <v>1116</v>
      </c>
      <c r="O183" s="32">
        <v>41.648629999999997</v>
      </c>
      <c r="P183" s="32">
        <v>-4.7063100000000002</v>
      </c>
    </row>
    <row r="184" spans="1:16" ht="15" customHeight="1">
      <c r="A184" s="21">
        <f>IF($B184="","",COUNTA($B$4:B184))</f>
        <v>181</v>
      </c>
      <c r="B184" s="22" t="s">
        <v>376</v>
      </c>
      <c r="C184" s="21" t="s">
        <v>377</v>
      </c>
      <c r="D184" s="21" t="s">
        <v>194</v>
      </c>
      <c r="E184" s="23" t="s">
        <v>51</v>
      </c>
      <c r="F184" s="21" t="s">
        <v>20</v>
      </c>
      <c r="G184" s="24">
        <v>297</v>
      </c>
      <c r="H184" s="24">
        <v>57</v>
      </c>
      <c r="I184" s="24">
        <v>95.2</v>
      </c>
      <c r="J184" s="24">
        <v>1969</v>
      </c>
      <c r="K184" s="24">
        <v>4</v>
      </c>
      <c r="L184" s="25">
        <v>417</v>
      </c>
      <c r="M184" s="25">
        <f>IF(OR($K184="",$L184=""),"",ROUND('⚙️ SUPUESTOS'!$C$14*'⚙️ SUPUESTOS'!$C$18*SQRT($L184)*$K184,0))</f>
        <v>1103</v>
      </c>
      <c r="N184" s="25">
        <v>1541</v>
      </c>
      <c r="O184" s="26">
        <v>41.6464</v>
      </c>
      <c r="P184" s="26">
        <v>-4.7075230000000001</v>
      </c>
    </row>
    <row r="185" spans="1:16" ht="15" customHeight="1">
      <c r="A185" s="27">
        <f>IF($B185="","",COUNTA($B$4:B185))</f>
        <v>182</v>
      </c>
      <c r="B185" s="28" t="s">
        <v>378</v>
      </c>
      <c r="C185" s="27" t="s">
        <v>379</v>
      </c>
      <c r="D185" s="27" t="s">
        <v>194</v>
      </c>
      <c r="E185" s="29" t="s">
        <v>51</v>
      </c>
      <c r="F185" s="27" t="s">
        <v>19</v>
      </c>
      <c r="G185" s="30">
        <v>293</v>
      </c>
      <c r="H185" s="30">
        <v>61.5</v>
      </c>
      <c r="I185" s="30">
        <v>156.1</v>
      </c>
      <c r="J185" s="30">
        <v>1965</v>
      </c>
      <c r="K185" s="30">
        <v>3</v>
      </c>
      <c r="L185" s="31">
        <v>111.3</v>
      </c>
      <c r="M185" s="31">
        <f>IF(OR($K185="",$L185=""),"",ROUND('⚙️ SUPUESTOS'!$C$14*'⚙️ SUPUESTOS'!$C$18*SQRT($L185)*$K185,0))</f>
        <v>427</v>
      </c>
      <c r="N185" s="31">
        <v>1346</v>
      </c>
      <c r="O185" s="32">
        <v>41.648240000000001</v>
      </c>
      <c r="P185" s="32">
        <v>-4.7086899999999998</v>
      </c>
    </row>
    <row r="186" spans="1:16" ht="15" customHeight="1">
      <c r="A186" s="21">
        <f>IF($B186="","",COUNTA($B$4:B186))</f>
        <v>183</v>
      </c>
      <c r="B186" s="22" t="s">
        <v>380</v>
      </c>
      <c r="C186" s="21" t="s">
        <v>381</v>
      </c>
      <c r="D186" s="21" t="s">
        <v>194</v>
      </c>
      <c r="E186" s="23" t="s">
        <v>51</v>
      </c>
      <c r="F186" s="21" t="s">
        <v>21</v>
      </c>
      <c r="G186" s="24">
        <v>292</v>
      </c>
      <c r="H186" s="24">
        <v>61.5</v>
      </c>
      <c r="I186" s="24">
        <v>150.30000000000001</v>
      </c>
      <c r="J186" s="24">
        <v>1969</v>
      </c>
      <c r="K186" s="24">
        <v>4</v>
      </c>
      <c r="L186" s="25">
        <v>612.6</v>
      </c>
      <c r="M186" s="25">
        <f>IF(OR($K186="",$L186=""),"",ROUND('⚙️ SUPUESTOS'!$C$14*'⚙️ SUPUESTOS'!$C$18*SQRT($L186)*$K186,0))</f>
        <v>1337</v>
      </c>
      <c r="N186" s="25">
        <v>1400</v>
      </c>
      <c r="O186" s="26">
        <v>41.646149999999999</v>
      </c>
      <c r="P186" s="26">
        <v>-4.7078899999999999</v>
      </c>
    </row>
    <row r="187" spans="1:16" ht="15" customHeight="1">
      <c r="A187" s="27">
        <f>IF($B187="","",COUNTA($B$4:B187))</f>
        <v>184</v>
      </c>
      <c r="B187" s="28" t="s">
        <v>382</v>
      </c>
      <c r="C187" s="27" t="s">
        <v>309</v>
      </c>
      <c r="D187" s="27" t="s">
        <v>124</v>
      </c>
      <c r="E187" s="29" t="s">
        <v>51</v>
      </c>
      <c r="F187" s="27" t="s">
        <v>21</v>
      </c>
      <c r="G187" s="30">
        <v>158</v>
      </c>
      <c r="H187" s="30">
        <v>33</v>
      </c>
      <c r="I187" s="30">
        <v>62.2</v>
      </c>
      <c r="J187" s="30">
        <v>1977</v>
      </c>
      <c r="K187" s="30">
        <v>7</v>
      </c>
      <c r="L187" s="31">
        <v>927.2</v>
      </c>
      <c r="M187" s="31">
        <f>IF(OR($K187="",$L187=""),"",ROUND('⚙️ SUPUESTOS'!$C$14*'⚙️ SUPUESTOS'!$C$18*SQRT($L187)*$K187,0))</f>
        <v>2878</v>
      </c>
      <c r="N187" s="31">
        <v>1469</v>
      </c>
      <c r="O187" s="32">
        <v>41.648269999999997</v>
      </c>
      <c r="P187" s="32">
        <v>-4.7110000000000003</v>
      </c>
    </row>
    <row r="188" spans="1:16" ht="15" customHeight="1">
      <c r="A188" s="21">
        <f>IF($B188="","",COUNTA($B$4:B188))</f>
        <v>185</v>
      </c>
      <c r="B188" s="22" t="s">
        <v>383</v>
      </c>
      <c r="C188" s="21" t="s">
        <v>384</v>
      </c>
      <c r="D188" s="21" t="s">
        <v>66</v>
      </c>
      <c r="E188" s="23" t="s">
        <v>51</v>
      </c>
      <c r="F188" s="21" t="s">
        <v>21</v>
      </c>
      <c r="G188" s="24">
        <v>209</v>
      </c>
      <c r="H188" s="24">
        <v>44</v>
      </c>
      <c r="I188" s="24">
        <v>142.9</v>
      </c>
      <c r="J188" s="24">
        <v>1968</v>
      </c>
      <c r="K188" s="24">
        <v>5</v>
      </c>
      <c r="L188" s="25">
        <v>258.10000000000002</v>
      </c>
      <c r="M188" s="25">
        <f>IF(OR($K188="",$L188=""),"",ROUND('⚙️ SUPUESTOS'!$C$14*'⚙️ SUPUESTOS'!$C$18*SQRT($L188)*$K188,0))</f>
        <v>1084</v>
      </c>
      <c r="N188" s="25">
        <v>1373</v>
      </c>
      <c r="O188" s="26">
        <v>41.64996</v>
      </c>
      <c r="P188" s="26">
        <v>-4.7076900000000004</v>
      </c>
    </row>
    <row r="189" spans="1:16" ht="15" customHeight="1">
      <c r="A189" s="27">
        <f>IF($B189="","",COUNTA($B$4:B189))</f>
        <v>186</v>
      </c>
      <c r="B189" s="28" t="s">
        <v>385</v>
      </c>
      <c r="C189" s="27" t="s">
        <v>344</v>
      </c>
      <c r="D189" s="27" t="s">
        <v>66</v>
      </c>
      <c r="E189" s="29" t="s">
        <v>51</v>
      </c>
      <c r="F189" s="27" t="s">
        <v>21</v>
      </c>
      <c r="G189" s="30">
        <v>204</v>
      </c>
      <c r="H189" s="30">
        <v>70.5</v>
      </c>
      <c r="I189" s="30">
        <v>94.1</v>
      </c>
      <c r="J189" s="30">
        <v>1970</v>
      </c>
      <c r="K189" s="30">
        <v>5</v>
      </c>
      <c r="L189" s="31">
        <v>693</v>
      </c>
      <c r="M189" s="31">
        <f>IF(OR($K189="",$L189=""),"",ROUND('⚙️ SUPUESTOS'!$C$14*'⚙️ SUPUESTOS'!$C$18*SQRT($L189)*$K189,0))</f>
        <v>1777</v>
      </c>
      <c r="N189" s="31">
        <v>1370</v>
      </c>
      <c r="O189" s="32">
        <v>41.64875</v>
      </c>
      <c r="P189" s="32">
        <v>-4.7062600000000003</v>
      </c>
    </row>
    <row r="190" spans="1:16" ht="15" customHeight="1">
      <c r="A190" s="21">
        <f>IF($B190="","",COUNTA($B$4:B190))</f>
        <v>187</v>
      </c>
      <c r="B190" s="22" t="s">
        <v>386</v>
      </c>
      <c r="C190" s="21" t="s">
        <v>387</v>
      </c>
      <c r="D190" s="21" t="s">
        <v>66</v>
      </c>
      <c r="E190" s="23" t="s">
        <v>51</v>
      </c>
      <c r="F190" s="21" t="s">
        <v>21</v>
      </c>
      <c r="G190" s="24">
        <v>203</v>
      </c>
      <c r="H190" s="24">
        <v>43</v>
      </c>
      <c r="I190" s="24">
        <v>83.6</v>
      </c>
      <c r="J190" s="24">
        <v>1967</v>
      </c>
      <c r="K190" s="24">
        <v>5</v>
      </c>
      <c r="L190" s="25">
        <v>178.4</v>
      </c>
      <c r="M190" s="25">
        <f>IF(OR($K190="",$L190=""),"",ROUND('⚙️ SUPUESTOS'!$C$14*'⚙️ SUPUESTOS'!$C$18*SQRT($L190)*$K190,0))</f>
        <v>902</v>
      </c>
      <c r="N190" s="25">
        <v>1300</v>
      </c>
      <c r="O190" s="26">
        <v>41.648499999999999</v>
      </c>
      <c r="P190" s="26">
        <v>-4.70669</v>
      </c>
    </row>
    <row r="191" spans="1:16" ht="15" customHeight="1">
      <c r="A191" s="27">
        <f>IF($B191="","",COUNTA($B$4:B191))</f>
        <v>188</v>
      </c>
      <c r="B191" s="28" t="s">
        <v>388</v>
      </c>
      <c r="C191" s="27" t="s">
        <v>389</v>
      </c>
      <c r="D191" s="27" t="s">
        <v>194</v>
      </c>
      <c r="E191" s="29" t="s">
        <v>51</v>
      </c>
      <c r="F191" s="27" t="s">
        <v>21</v>
      </c>
      <c r="G191" s="30">
        <v>283</v>
      </c>
      <c r="H191" s="30">
        <v>60</v>
      </c>
      <c r="I191" s="30">
        <v>150.6</v>
      </c>
      <c r="J191" s="30">
        <v>1967</v>
      </c>
      <c r="K191" s="30">
        <v>6</v>
      </c>
      <c r="L191" s="31">
        <v>350.8</v>
      </c>
      <c r="M191" s="31">
        <f>IF(OR($K191="",$L191=""),"",ROUND('⚙️ SUPUESTOS'!$C$14*'⚙️ SUPUESTOS'!$C$18*SQRT($L191)*$K191,0))</f>
        <v>1517</v>
      </c>
      <c r="N191" s="31">
        <v>1351</v>
      </c>
      <c r="O191" s="32">
        <v>41.647410000000001</v>
      </c>
      <c r="P191" s="32">
        <v>-4.7076099999999999</v>
      </c>
    </row>
    <row r="192" spans="1:16" ht="15" customHeight="1">
      <c r="A192" s="21">
        <f>IF($B192="","",COUNTA($B$4:B192))</f>
        <v>189</v>
      </c>
      <c r="B192" s="22" t="s">
        <v>390</v>
      </c>
      <c r="C192" s="21" t="s">
        <v>391</v>
      </c>
      <c r="D192" s="21" t="s">
        <v>194</v>
      </c>
      <c r="E192" s="23" t="s">
        <v>51</v>
      </c>
      <c r="F192" s="21" t="s">
        <v>21</v>
      </c>
      <c r="G192" s="24">
        <v>279</v>
      </c>
      <c r="H192" s="24">
        <v>59</v>
      </c>
      <c r="I192" s="24">
        <v>139.4</v>
      </c>
      <c r="J192" s="24">
        <v>1969</v>
      </c>
      <c r="K192" s="24">
        <v>5</v>
      </c>
      <c r="L192" s="25">
        <v>563.4</v>
      </c>
      <c r="M192" s="25">
        <f>IF(OR($K192="",$L192=""),"",ROUND('⚙️ SUPUESTOS'!$C$14*'⚙️ SUPUESTOS'!$C$18*SQRT($L192)*$K192,0))</f>
        <v>1602</v>
      </c>
      <c r="N192" s="25">
        <v>1270</v>
      </c>
      <c r="O192" s="26">
        <v>41.647080000000003</v>
      </c>
      <c r="P192" s="26">
        <v>-4.7072200000000004</v>
      </c>
    </row>
    <row r="193" spans="1:16" ht="15" customHeight="1">
      <c r="A193" s="27">
        <f>IF($B193="","",COUNTA($B$4:B193))</f>
        <v>190</v>
      </c>
      <c r="B193" s="28" t="s">
        <v>392</v>
      </c>
      <c r="C193" s="27" t="s">
        <v>393</v>
      </c>
      <c r="D193" s="27" t="s">
        <v>194</v>
      </c>
      <c r="E193" s="29" t="s">
        <v>51</v>
      </c>
      <c r="F193" s="27" t="s">
        <v>21</v>
      </c>
      <c r="G193" s="30">
        <v>278</v>
      </c>
      <c r="H193" s="30">
        <v>58.5</v>
      </c>
      <c r="I193" s="30">
        <v>137.80000000000001</v>
      </c>
      <c r="J193" s="30">
        <v>1967</v>
      </c>
      <c r="K193" s="30">
        <v>6</v>
      </c>
      <c r="L193" s="31">
        <v>367.4</v>
      </c>
      <c r="M193" s="31">
        <f>IF(OR($K193="",$L193=""),"",ROUND('⚙️ SUPUESTOS'!$C$14*'⚙️ SUPUESTOS'!$C$18*SQRT($L193)*$K193,0))</f>
        <v>1553</v>
      </c>
      <c r="N193" s="31">
        <v>1375</v>
      </c>
      <c r="O193" s="32">
        <v>41.647500000000001</v>
      </c>
      <c r="P193" s="32">
        <v>-4.7077999999999998</v>
      </c>
    </row>
    <row r="194" spans="1:16" ht="15" customHeight="1">
      <c r="A194" s="21">
        <f>IF($B194="","",COUNTA($B$4:B194))</f>
        <v>191</v>
      </c>
      <c r="B194" s="22" t="s">
        <v>394</v>
      </c>
      <c r="C194" s="21" t="s">
        <v>395</v>
      </c>
      <c r="D194" s="21" t="s">
        <v>66</v>
      </c>
      <c r="E194" s="23" t="s">
        <v>51</v>
      </c>
      <c r="F194" s="21" t="s">
        <v>21</v>
      </c>
      <c r="G194" s="24">
        <v>196</v>
      </c>
      <c r="H194" s="24">
        <v>41</v>
      </c>
      <c r="I194" s="24">
        <v>101</v>
      </c>
      <c r="J194" s="24">
        <v>1979</v>
      </c>
      <c r="K194" s="24">
        <v>5</v>
      </c>
      <c r="L194" s="25">
        <v>243.8</v>
      </c>
      <c r="M194" s="25">
        <f>IF(OR($K194="",$L194=""),"",ROUND('⚙️ SUPUESTOS'!$C$14*'⚙️ SUPUESTOS'!$C$18*SQRT($L194)*$K194,0))</f>
        <v>1054</v>
      </c>
      <c r="N194" s="25">
        <v>1317</v>
      </c>
      <c r="O194" s="26">
        <v>41.649729999999998</v>
      </c>
      <c r="P194" s="26">
        <v>-4.7065999999999999</v>
      </c>
    </row>
    <row r="195" spans="1:16" ht="15" customHeight="1">
      <c r="A195" s="27">
        <f>IF($B195="","",COUNTA($B$4:B195))</f>
        <v>192</v>
      </c>
      <c r="B195" s="28" t="s">
        <v>396</v>
      </c>
      <c r="C195" s="27" t="s">
        <v>356</v>
      </c>
      <c r="D195" s="27" t="s">
        <v>207</v>
      </c>
      <c r="E195" s="29" t="s">
        <v>51</v>
      </c>
      <c r="F195" s="27" t="s">
        <v>21</v>
      </c>
      <c r="G195" s="30">
        <v>148</v>
      </c>
      <c r="H195" s="30">
        <v>31</v>
      </c>
      <c r="I195" s="30">
        <v>100.1</v>
      </c>
      <c r="J195" s="30">
        <v>1969</v>
      </c>
      <c r="K195" s="30">
        <v>6</v>
      </c>
      <c r="L195" s="31">
        <v>271.7</v>
      </c>
      <c r="M195" s="31">
        <f>IF(OR($K195="",$L195=""),"",ROUND('⚙️ SUPUESTOS'!$C$14*'⚙️ SUPUESTOS'!$C$18*SQRT($L195)*$K195,0))</f>
        <v>1335</v>
      </c>
      <c r="N195" s="31">
        <v>1496</v>
      </c>
      <c r="O195" s="32">
        <v>41.647390000000001</v>
      </c>
      <c r="P195" s="32">
        <v>-4.7102599999999999</v>
      </c>
    </row>
    <row r="196" spans="1:16" ht="15" customHeight="1">
      <c r="A196" s="21">
        <f>IF($B196="","",COUNTA($B$4:B196))</f>
        <v>193</v>
      </c>
      <c r="B196" s="22" t="s">
        <v>397</v>
      </c>
      <c r="C196" s="21" t="s">
        <v>398</v>
      </c>
      <c r="D196" s="21" t="s">
        <v>194</v>
      </c>
      <c r="E196" s="23" t="s">
        <v>51</v>
      </c>
      <c r="F196" s="21" t="s">
        <v>21</v>
      </c>
      <c r="G196" s="24">
        <v>260</v>
      </c>
      <c r="H196" s="24">
        <v>66</v>
      </c>
      <c r="I196" s="24">
        <v>130.30000000000001</v>
      </c>
      <c r="J196" s="24">
        <v>1976</v>
      </c>
      <c r="K196" s="24">
        <v>12</v>
      </c>
      <c r="L196" s="25">
        <v>680.7</v>
      </c>
      <c r="M196" s="25">
        <f>IF(OR($K196="",$L196=""),"",ROUND('⚙️ SUPUESTOS'!$C$14*'⚙️ SUPUESTOS'!$C$18*SQRT($L196)*$K196,0))</f>
        <v>4227</v>
      </c>
      <c r="N196" s="25">
        <v>1230</v>
      </c>
      <c r="O196" s="26">
        <v>41.646360000000001</v>
      </c>
      <c r="P196" s="26">
        <v>-4.7083899999999996</v>
      </c>
    </row>
    <row r="197" spans="1:16" ht="15" customHeight="1">
      <c r="A197" s="27">
        <f>IF($B197="","",COUNTA($B$4:B197))</f>
        <v>194</v>
      </c>
      <c r="B197" s="28" t="s">
        <v>399</v>
      </c>
      <c r="C197" s="27" t="s">
        <v>400</v>
      </c>
      <c r="D197" s="27" t="s">
        <v>194</v>
      </c>
      <c r="E197" s="29" t="s">
        <v>51</v>
      </c>
      <c r="F197" s="27" t="s">
        <v>19</v>
      </c>
      <c r="G197" s="30">
        <v>256</v>
      </c>
      <c r="H197" s="30">
        <v>48</v>
      </c>
      <c r="I197" s="30">
        <v>112.6</v>
      </c>
      <c r="J197" s="30">
        <v>1969</v>
      </c>
      <c r="K197" s="30">
        <v>5</v>
      </c>
      <c r="L197" s="31">
        <v>444.2</v>
      </c>
      <c r="M197" s="31">
        <f>IF(OR($K197="",$L197=""),"",ROUND('⚙️ SUPUESTOS'!$C$14*'⚙️ SUPUESTOS'!$C$18*SQRT($L197)*$K197,0))</f>
        <v>1423</v>
      </c>
      <c r="N197" s="31">
        <v>1344</v>
      </c>
      <c r="O197" s="32">
        <v>41.646819999999998</v>
      </c>
      <c r="P197" s="32">
        <v>-4.70716</v>
      </c>
    </row>
    <row r="198" spans="1:16" ht="15" customHeight="1">
      <c r="A198" s="21">
        <f>IF($B198="","",COUNTA($B$4:B198))</f>
        <v>195</v>
      </c>
      <c r="B198" s="22" t="s">
        <v>401</v>
      </c>
      <c r="C198" s="21" t="s">
        <v>402</v>
      </c>
      <c r="D198" s="21" t="s">
        <v>194</v>
      </c>
      <c r="E198" s="23" t="s">
        <v>51</v>
      </c>
      <c r="F198" s="21" t="s">
        <v>21</v>
      </c>
      <c r="G198" s="24">
        <v>253</v>
      </c>
      <c r="H198" s="24">
        <v>52</v>
      </c>
      <c r="I198" s="24">
        <v>142.69999999999999</v>
      </c>
      <c r="J198" s="24">
        <v>1969</v>
      </c>
      <c r="K198" s="24">
        <v>5</v>
      </c>
      <c r="L198" s="25">
        <v>430.3</v>
      </c>
      <c r="M198" s="25">
        <f>IF(OR($K198="",$L198=""),"",ROUND('⚙️ SUPUESTOS'!$C$14*'⚙️ SUPUESTOS'!$C$18*SQRT($L198)*$K198,0))</f>
        <v>1400</v>
      </c>
      <c r="N198" s="25">
        <v>1487</v>
      </c>
      <c r="O198" s="26">
        <v>41.646509999999999</v>
      </c>
      <c r="P198" s="26">
        <v>-4.7073400000000003</v>
      </c>
    </row>
    <row r="199" spans="1:16" ht="15" customHeight="1">
      <c r="A199" s="27">
        <f>IF($B199="","",COUNTA($B$4:B199))</f>
        <v>196</v>
      </c>
      <c r="B199" s="28" t="s">
        <v>403</v>
      </c>
      <c r="C199" s="27" t="s">
        <v>404</v>
      </c>
      <c r="D199" s="27" t="s">
        <v>194</v>
      </c>
      <c r="E199" s="29" t="s">
        <v>51</v>
      </c>
      <c r="F199" s="27" t="s">
        <v>21</v>
      </c>
      <c r="G199" s="30">
        <v>244</v>
      </c>
      <c r="H199" s="30">
        <v>52</v>
      </c>
      <c r="I199" s="30">
        <v>127.9</v>
      </c>
      <c r="J199" s="30">
        <v>1969</v>
      </c>
      <c r="K199" s="30">
        <v>4</v>
      </c>
      <c r="L199" s="31">
        <v>345.9</v>
      </c>
      <c r="M199" s="31">
        <f>IF(OR($K199="",$L199=""),"",ROUND('⚙️ SUPUESTOS'!$C$14*'⚙️ SUPUESTOS'!$C$18*SQRT($L199)*$K199,0))</f>
        <v>1004</v>
      </c>
      <c r="N199" s="31">
        <v>1393</v>
      </c>
      <c r="O199" s="32">
        <v>41.647320000000001</v>
      </c>
      <c r="P199" s="32">
        <v>-4.7074199999999999</v>
      </c>
    </row>
    <row r="200" spans="1:16" ht="15" customHeight="1">
      <c r="A200" s="21">
        <f>IF($B200="","",COUNTA($B$4:B200))</f>
        <v>197</v>
      </c>
      <c r="B200" s="22" t="s">
        <v>405</v>
      </c>
      <c r="C200" s="21" t="s">
        <v>398</v>
      </c>
      <c r="D200" s="21" t="s">
        <v>194</v>
      </c>
      <c r="E200" s="23" t="s">
        <v>51</v>
      </c>
      <c r="F200" s="21" t="s">
        <v>21</v>
      </c>
      <c r="G200" s="24">
        <v>242</v>
      </c>
      <c r="H200" s="24">
        <v>52</v>
      </c>
      <c r="I200" s="24">
        <v>101.6</v>
      </c>
      <c r="J200" s="24">
        <v>1976</v>
      </c>
      <c r="K200" s="24">
        <v>12</v>
      </c>
      <c r="L200" s="25">
        <v>680.7</v>
      </c>
      <c r="M200" s="25">
        <f>IF(OR($K200="",$L200=""),"",ROUND('⚙️ SUPUESTOS'!$C$14*'⚙️ SUPUESTOS'!$C$18*SQRT($L200)*$K200,0))</f>
        <v>4227</v>
      </c>
      <c r="N200" s="25">
        <v>1230</v>
      </c>
      <c r="O200" s="26">
        <v>41.646720000000002</v>
      </c>
      <c r="P200" s="26">
        <v>-4.7083199999999996</v>
      </c>
    </row>
    <row r="201" spans="1:16" ht="15" customHeight="1">
      <c r="A201" s="27">
        <f>IF($B201="","",COUNTA($B$4:B201))</f>
        <v>198</v>
      </c>
      <c r="B201" s="28" t="s">
        <v>406</v>
      </c>
      <c r="C201" s="27" t="s">
        <v>407</v>
      </c>
      <c r="D201" s="27" t="s">
        <v>66</v>
      </c>
      <c r="E201" s="29" t="s">
        <v>51</v>
      </c>
      <c r="F201" s="27" t="s">
        <v>21</v>
      </c>
      <c r="G201" s="30">
        <v>160</v>
      </c>
      <c r="H201" s="30">
        <v>33.5</v>
      </c>
      <c r="I201" s="30">
        <v>83.5</v>
      </c>
      <c r="J201" s="30">
        <v>1969</v>
      </c>
      <c r="K201" s="30">
        <v>6</v>
      </c>
      <c r="L201" s="31">
        <v>492.4</v>
      </c>
      <c r="M201" s="31">
        <f>IF(OR($K201="",$L201=""),"",ROUND('⚙️ SUPUESTOS'!$C$14*'⚙️ SUPUESTOS'!$C$18*SQRT($L201)*$K201,0))</f>
        <v>1797</v>
      </c>
      <c r="N201" s="31">
        <v>1591</v>
      </c>
      <c r="O201" s="32">
        <v>41.649569999999997</v>
      </c>
      <c r="P201" s="32">
        <v>-4.7068899999999996</v>
      </c>
    </row>
    <row r="202" spans="1:16" ht="15" customHeight="1">
      <c r="A202" s="21">
        <f>IF($B202="","",COUNTA($B$4:B202))</f>
        <v>199</v>
      </c>
      <c r="B202" s="22" t="s">
        <v>408</v>
      </c>
      <c r="C202" s="21" t="s">
        <v>409</v>
      </c>
      <c r="D202" s="21" t="s">
        <v>66</v>
      </c>
      <c r="E202" s="23" t="s">
        <v>51</v>
      </c>
      <c r="F202" s="21" t="s">
        <v>21</v>
      </c>
      <c r="G202" s="24">
        <v>158</v>
      </c>
      <c r="H202" s="24">
        <v>27</v>
      </c>
      <c r="I202" s="24">
        <v>65.400000000000006</v>
      </c>
      <c r="J202" s="24">
        <v>1971</v>
      </c>
      <c r="K202" s="24">
        <v>5</v>
      </c>
      <c r="L202" s="25">
        <v>168.6</v>
      </c>
      <c r="M202" s="25">
        <f>IF(OR($K202="",$L202=""),"",ROUND('⚙️ SUPUESTOS'!$C$14*'⚙️ SUPUESTOS'!$C$18*SQRT($L202)*$K202,0))</f>
        <v>876</v>
      </c>
      <c r="N202" s="25">
        <v>1439</v>
      </c>
      <c r="O202" s="26">
        <v>41.648719999999997</v>
      </c>
      <c r="P202" s="26">
        <v>-4.7072399999999996</v>
      </c>
    </row>
    <row r="203" spans="1:16" ht="15" customHeight="1">
      <c r="A203" s="27">
        <f>IF($B203="","",COUNTA($B$4:B203))</f>
        <v>200</v>
      </c>
      <c r="B203" s="28" t="s">
        <v>410</v>
      </c>
      <c r="C203" s="27" t="s">
        <v>411</v>
      </c>
      <c r="D203" s="27" t="s">
        <v>194</v>
      </c>
      <c r="E203" s="29" t="s">
        <v>51</v>
      </c>
      <c r="F203" s="27" t="s">
        <v>21</v>
      </c>
      <c r="G203" s="30">
        <v>230</v>
      </c>
      <c r="H203" s="30">
        <v>49</v>
      </c>
      <c r="I203" s="30">
        <v>111.8</v>
      </c>
      <c r="J203" s="30">
        <v>1969</v>
      </c>
      <c r="K203" s="30">
        <v>6</v>
      </c>
      <c r="L203" s="31">
        <v>589.6</v>
      </c>
      <c r="M203" s="31">
        <f>IF(OR($K203="",$L203=""),"",ROUND('⚙️ SUPUESTOS'!$C$14*'⚙️ SUPUESTOS'!$C$18*SQRT($L203)*$K203,0))</f>
        <v>1967</v>
      </c>
      <c r="N203" s="31">
        <v>1444</v>
      </c>
      <c r="O203" s="32">
        <v>41.647306999999998</v>
      </c>
      <c r="P203" s="32">
        <v>-4.7076469999999997</v>
      </c>
    </row>
    <row r="204" spans="1:16" ht="15" customHeight="1">
      <c r="A204" s="21">
        <f>IF($B204="","",COUNTA($B$4:B204))</f>
        <v>201</v>
      </c>
      <c r="B204" s="22" t="s">
        <v>412</v>
      </c>
      <c r="C204" s="21" t="s">
        <v>328</v>
      </c>
      <c r="D204" s="21" t="s">
        <v>194</v>
      </c>
      <c r="E204" s="23" t="s">
        <v>51</v>
      </c>
      <c r="F204" s="21" t="s">
        <v>21</v>
      </c>
      <c r="G204" s="24">
        <v>220</v>
      </c>
      <c r="H204" s="24">
        <v>46</v>
      </c>
      <c r="I204" s="24">
        <v>136.4</v>
      </c>
      <c r="J204" s="24">
        <v>1969</v>
      </c>
      <c r="K204" s="24">
        <v>5</v>
      </c>
      <c r="L204" s="25">
        <v>343.2</v>
      </c>
      <c r="M204" s="25">
        <f>IF(OR($K204="",$L204=""),"",ROUND('⚙️ SUPUESTOS'!$C$14*'⚙️ SUPUESTOS'!$C$18*SQRT($L204)*$K204,0))</f>
        <v>1250</v>
      </c>
      <c r="N204" s="25">
        <v>1259</v>
      </c>
      <c r="O204" s="26">
        <v>41.646301999999999</v>
      </c>
      <c r="P204" s="26">
        <v>-4.7077479999999996</v>
      </c>
    </row>
    <row r="205" spans="1:16" ht="15" customHeight="1">
      <c r="A205" s="27">
        <f>IF($B205="","",COUNTA($B$4:B205))</f>
        <v>202</v>
      </c>
      <c r="B205" s="28" t="s">
        <v>413</v>
      </c>
      <c r="C205" s="27" t="s">
        <v>411</v>
      </c>
      <c r="D205" s="27" t="s">
        <v>194</v>
      </c>
      <c r="E205" s="29" t="s">
        <v>51</v>
      </c>
      <c r="F205" s="27" t="s">
        <v>21</v>
      </c>
      <c r="G205" s="30">
        <v>205</v>
      </c>
      <c r="H205" s="30">
        <v>43</v>
      </c>
      <c r="I205" s="30">
        <v>117.6</v>
      </c>
      <c r="J205" s="30">
        <v>1969</v>
      </c>
      <c r="K205" s="30">
        <v>6</v>
      </c>
      <c r="L205" s="31">
        <v>589.6</v>
      </c>
      <c r="M205" s="31">
        <f>IF(OR($K205="",$L205=""),"",ROUND('⚙️ SUPUESTOS'!$C$14*'⚙️ SUPUESTOS'!$C$18*SQRT($L205)*$K205,0))</f>
        <v>1967</v>
      </c>
      <c r="N205" s="31">
        <v>1444</v>
      </c>
      <c r="O205" s="32">
        <v>41.647109999999998</v>
      </c>
      <c r="P205" s="32">
        <v>-4.7080099999999998</v>
      </c>
    </row>
    <row r="206" spans="1:16" ht="15" customHeight="1">
      <c r="A206" s="21">
        <f>IF($B206="","",COUNTA($B$4:B206))</f>
        <v>203</v>
      </c>
      <c r="B206" s="22" t="s">
        <v>414</v>
      </c>
      <c r="C206" s="21" t="s">
        <v>415</v>
      </c>
      <c r="D206" s="21" t="s">
        <v>194</v>
      </c>
      <c r="E206" s="23" t="s">
        <v>51</v>
      </c>
      <c r="F206" s="21" t="s">
        <v>21</v>
      </c>
      <c r="G206" s="24">
        <v>174</v>
      </c>
      <c r="H206" s="24">
        <v>37</v>
      </c>
      <c r="I206" s="24">
        <v>65.2</v>
      </c>
      <c r="J206" s="24">
        <v>1970</v>
      </c>
      <c r="K206" s="24">
        <v>5</v>
      </c>
      <c r="L206" s="25">
        <v>417</v>
      </c>
      <c r="M206" s="25">
        <f>IF(OR($K206="",$L206=""),"",ROUND('⚙️ SUPUESTOS'!$C$14*'⚙️ SUPUESTOS'!$C$18*SQRT($L206)*$K206,0))</f>
        <v>1378</v>
      </c>
      <c r="N206" s="25">
        <v>1519</v>
      </c>
      <c r="O206" s="26">
        <v>41.646650000000001</v>
      </c>
      <c r="P206" s="26">
        <v>-4.70723</v>
      </c>
    </row>
    <row r="207" spans="1:16" ht="15" customHeight="1">
      <c r="A207" s="33" t="str">
        <f>IF($B207="","",COUNTA($B$4:B207))</f>
        <v/>
      </c>
      <c r="B207" s="34"/>
      <c r="C207" s="33"/>
      <c r="D207" s="33"/>
      <c r="E207" s="33"/>
      <c r="F207" s="33"/>
      <c r="G207" s="35"/>
      <c r="H207" s="35"/>
      <c r="I207" s="35"/>
      <c r="J207" s="35"/>
      <c r="K207" s="35"/>
      <c r="L207" s="36"/>
      <c r="M207" s="36"/>
      <c r="N207" s="36"/>
      <c r="O207" s="37"/>
      <c r="P207" s="37"/>
    </row>
    <row r="208" spans="1:16" ht="15" customHeight="1">
      <c r="A208" s="33" t="str">
        <f>IF($B208="","",COUNTA($B$4:B208))</f>
        <v/>
      </c>
      <c r="B208" s="38"/>
      <c r="C208" s="33"/>
      <c r="D208" s="33"/>
      <c r="E208" s="33"/>
      <c r="F208" s="33"/>
      <c r="G208" s="35"/>
      <c r="H208" s="35"/>
      <c r="I208" s="35"/>
      <c r="J208" s="35"/>
      <c r="K208" s="35"/>
      <c r="L208" s="36"/>
      <c r="M208" s="36"/>
      <c r="N208" s="36"/>
      <c r="O208" s="37"/>
      <c r="P208" s="37"/>
    </row>
    <row r="209" spans="1:16" ht="15" customHeight="1">
      <c r="A209" s="33" t="str">
        <f>IF($B209="","",COUNTA($B$4:B209))</f>
        <v/>
      </c>
      <c r="B209" s="38"/>
      <c r="C209" s="33"/>
      <c r="D209" s="33"/>
      <c r="E209" s="33"/>
      <c r="F209" s="33"/>
      <c r="G209" s="35"/>
      <c r="H209" s="35"/>
      <c r="I209" s="35"/>
      <c r="J209" s="35"/>
      <c r="K209" s="35"/>
      <c r="L209" s="36"/>
      <c r="M209" s="36"/>
      <c r="N209" s="36"/>
      <c r="O209" s="37"/>
      <c r="P209" s="37"/>
    </row>
    <row r="210" spans="1:16" ht="15" customHeight="1">
      <c r="A210" s="33" t="str">
        <f>IF($B210="","",COUNTA($B$4:B210))</f>
        <v/>
      </c>
      <c r="B210" s="38"/>
      <c r="C210" s="33"/>
      <c r="D210" s="33"/>
      <c r="E210" s="33"/>
      <c r="F210" s="33"/>
      <c r="G210" s="35"/>
      <c r="H210" s="35"/>
      <c r="I210" s="35"/>
      <c r="J210" s="35"/>
      <c r="K210" s="35"/>
      <c r="L210" s="36"/>
      <c r="M210" s="36"/>
      <c r="N210" s="36"/>
      <c r="O210" s="37"/>
      <c r="P210" s="37"/>
    </row>
    <row r="211" spans="1:16" ht="15" customHeight="1">
      <c r="A211" s="33" t="str">
        <f>IF($B211="","",COUNTA($B$4:B211))</f>
        <v/>
      </c>
      <c r="B211" s="38"/>
      <c r="C211" s="33"/>
      <c r="D211" s="33"/>
      <c r="E211" s="33"/>
      <c r="F211" s="33"/>
      <c r="G211" s="35"/>
      <c r="H211" s="35"/>
      <c r="I211" s="35"/>
      <c r="J211" s="35"/>
      <c r="K211" s="35"/>
      <c r="L211" s="36"/>
      <c r="M211" s="36"/>
      <c r="N211" s="36"/>
      <c r="O211" s="37"/>
      <c r="P211" s="37"/>
    </row>
    <row r="212" spans="1:16" ht="15" customHeight="1">
      <c r="A212" s="33" t="str">
        <f>IF($B212="","",COUNTA($B$4:B212))</f>
        <v/>
      </c>
      <c r="B212" s="38"/>
      <c r="C212" s="33"/>
      <c r="D212" s="33"/>
      <c r="E212" s="33"/>
      <c r="F212" s="33"/>
      <c r="G212" s="35"/>
      <c r="H212" s="35"/>
      <c r="I212" s="35"/>
      <c r="J212" s="35"/>
      <c r="K212" s="35"/>
      <c r="L212" s="36"/>
      <c r="M212" s="36"/>
      <c r="N212" s="36"/>
      <c r="O212" s="37"/>
      <c r="P212" s="37"/>
    </row>
    <row r="213" spans="1:16" ht="15" customHeight="1">
      <c r="A213" s="33" t="str">
        <f>IF($B213="","",COUNTA($B$4:B213))</f>
        <v/>
      </c>
      <c r="B213" s="38"/>
      <c r="C213" s="33"/>
      <c r="D213" s="33"/>
      <c r="E213" s="33"/>
      <c r="F213" s="33"/>
      <c r="G213" s="35"/>
      <c r="H213" s="35"/>
      <c r="I213" s="35"/>
      <c r="J213" s="35"/>
      <c r="K213" s="35"/>
      <c r="L213" s="36"/>
      <c r="M213" s="36"/>
      <c r="N213" s="36"/>
      <c r="O213" s="37"/>
      <c r="P213" s="37"/>
    </row>
    <row r="214" spans="1:16" ht="15" customHeight="1">
      <c r="A214" s="33" t="str">
        <f>IF($B214="","",COUNTA($B$4:B214))</f>
        <v/>
      </c>
      <c r="B214" s="38"/>
      <c r="C214" s="33"/>
      <c r="D214" s="33"/>
      <c r="E214" s="33"/>
      <c r="F214" s="33"/>
      <c r="G214" s="35"/>
      <c r="H214" s="35"/>
      <c r="I214" s="35"/>
      <c r="J214" s="35"/>
      <c r="K214" s="35"/>
      <c r="L214" s="36"/>
      <c r="M214" s="36"/>
      <c r="N214" s="36"/>
      <c r="O214" s="37"/>
      <c r="P214" s="37"/>
    </row>
    <row r="215" spans="1:16" ht="15" customHeight="1">
      <c r="A215" s="33" t="str">
        <f>IF($B215="","",COUNTA($B$4:B215))</f>
        <v/>
      </c>
      <c r="B215" s="38"/>
      <c r="C215" s="33"/>
      <c r="D215" s="33"/>
      <c r="E215" s="33"/>
      <c r="F215" s="33"/>
      <c r="G215" s="35"/>
      <c r="H215" s="35"/>
      <c r="I215" s="35"/>
      <c r="J215" s="35"/>
      <c r="K215" s="35"/>
      <c r="L215" s="36"/>
      <c r="M215" s="36"/>
      <c r="N215" s="36"/>
      <c r="O215" s="37"/>
      <c r="P215" s="37"/>
    </row>
    <row r="216" spans="1:16" ht="15" customHeight="1">
      <c r="A216" s="33" t="str">
        <f>IF($B216="","",COUNTA($B$4:B216))</f>
        <v/>
      </c>
      <c r="B216" s="38"/>
      <c r="C216" s="33"/>
      <c r="D216" s="33"/>
      <c r="E216" s="33"/>
      <c r="F216" s="33"/>
      <c r="G216" s="35"/>
      <c r="H216" s="35"/>
      <c r="I216" s="35"/>
      <c r="J216" s="35"/>
      <c r="K216" s="35"/>
      <c r="L216" s="36"/>
      <c r="M216" s="36"/>
      <c r="N216" s="36"/>
      <c r="O216" s="37"/>
      <c r="P216" s="37"/>
    </row>
    <row r="217" spans="1:16" ht="15" customHeight="1">
      <c r="A217" s="33" t="str">
        <f>IF($B217="","",COUNTA($B$4:B217))</f>
        <v/>
      </c>
      <c r="B217" s="38"/>
      <c r="C217" s="33"/>
      <c r="D217" s="33"/>
      <c r="E217" s="33"/>
      <c r="F217" s="33"/>
      <c r="G217" s="35"/>
      <c r="H217" s="35"/>
      <c r="I217" s="35"/>
      <c r="J217" s="35"/>
      <c r="K217" s="35"/>
      <c r="L217" s="36"/>
      <c r="M217" s="36"/>
      <c r="N217" s="36"/>
      <c r="O217" s="37"/>
      <c r="P217" s="37"/>
    </row>
    <row r="218" spans="1:16" ht="15" customHeight="1">
      <c r="A218" s="33" t="str">
        <f>IF($B218="","",COUNTA($B$4:B218))</f>
        <v/>
      </c>
      <c r="B218" s="38"/>
      <c r="C218" s="33"/>
      <c r="D218" s="33"/>
      <c r="E218" s="33"/>
      <c r="F218" s="33"/>
      <c r="G218" s="35"/>
      <c r="H218" s="35"/>
      <c r="I218" s="35"/>
      <c r="J218" s="35"/>
      <c r="K218" s="35"/>
      <c r="L218" s="36"/>
      <c r="M218" s="36"/>
      <c r="N218" s="36"/>
      <c r="O218" s="37"/>
      <c r="P218" s="37"/>
    </row>
    <row r="219" spans="1:16" ht="15" customHeight="1">
      <c r="A219" s="33" t="str">
        <f>IF($B219="","",COUNTA($B$4:B219))</f>
        <v/>
      </c>
      <c r="B219" s="38"/>
      <c r="C219" s="33"/>
      <c r="D219" s="33"/>
      <c r="E219" s="33"/>
      <c r="F219" s="33"/>
      <c r="G219" s="35"/>
      <c r="H219" s="35"/>
      <c r="I219" s="35"/>
      <c r="J219" s="35"/>
      <c r="K219" s="35"/>
      <c r="L219" s="36"/>
      <c r="M219" s="36"/>
      <c r="N219" s="36"/>
      <c r="O219" s="37"/>
      <c r="P219" s="37"/>
    </row>
    <row r="220" spans="1:16" ht="15" customHeight="1">
      <c r="A220" s="33" t="str">
        <f>IF($B220="","",COUNTA($B$4:B220))</f>
        <v/>
      </c>
      <c r="B220" s="38"/>
      <c r="C220" s="33"/>
      <c r="D220" s="33"/>
      <c r="E220" s="33"/>
      <c r="F220" s="33"/>
      <c r="G220" s="35"/>
      <c r="H220" s="35"/>
      <c r="I220" s="35"/>
      <c r="J220" s="35"/>
      <c r="K220" s="35"/>
      <c r="L220" s="36"/>
      <c r="M220" s="36"/>
      <c r="N220" s="36"/>
      <c r="O220" s="37"/>
      <c r="P220" s="37"/>
    </row>
    <row r="221" spans="1:16" ht="15" customHeight="1">
      <c r="A221" s="33" t="str">
        <f>IF($B221="","",COUNTA($B$4:B221))</f>
        <v/>
      </c>
      <c r="B221" s="38"/>
      <c r="C221" s="33"/>
      <c r="D221" s="33"/>
      <c r="E221" s="33"/>
      <c r="F221" s="33"/>
      <c r="G221" s="35"/>
      <c r="H221" s="35"/>
      <c r="I221" s="35"/>
      <c r="J221" s="35"/>
      <c r="K221" s="35"/>
      <c r="L221" s="36"/>
      <c r="M221" s="36"/>
      <c r="N221" s="36"/>
      <c r="O221" s="37"/>
      <c r="P221" s="37"/>
    </row>
    <row r="222" spans="1:16" ht="15" customHeight="1">
      <c r="A222" s="33" t="str">
        <f>IF($B222="","",COUNTA($B$4:B222))</f>
        <v/>
      </c>
      <c r="B222" s="38"/>
      <c r="C222" s="33"/>
      <c r="D222" s="33"/>
      <c r="E222" s="33"/>
      <c r="F222" s="33"/>
      <c r="G222" s="35"/>
      <c r="H222" s="35"/>
      <c r="I222" s="35"/>
      <c r="J222" s="35"/>
      <c r="K222" s="35"/>
      <c r="L222" s="36"/>
      <c r="M222" s="36"/>
      <c r="N222" s="36"/>
      <c r="O222" s="37"/>
      <c r="P222" s="37"/>
    </row>
    <row r="223" spans="1:16" ht="15" customHeight="1">
      <c r="A223" s="33" t="str">
        <f>IF($B223="","",COUNTA($B$4:B223))</f>
        <v/>
      </c>
      <c r="B223" s="38"/>
      <c r="C223" s="33"/>
      <c r="D223" s="33"/>
      <c r="E223" s="33"/>
      <c r="F223" s="33"/>
      <c r="G223" s="35"/>
      <c r="H223" s="35"/>
      <c r="I223" s="35"/>
      <c r="J223" s="35"/>
      <c r="K223" s="35"/>
      <c r="L223" s="36"/>
      <c r="M223" s="36"/>
      <c r="N223" s="36"/>
      <c r="O223" s="37"/>
      <c r="P223" s="37"/>
    </row>
    <row r="224" spans="1:16" ht="15" customHeight="1">
      <c r="A224" s="33" t="str">
        <f>IF($B224="","",COUNTA($B$4:B224))</f>
        <v/>
      </c>
      <c r="B224" s="38"/>
      <c r="C224" s="33"/>
      <c r="D224" s="33"/>
      <c r="E224" s="33"/>
      <c r="F224" s="33"/>
      <c r="G224" s="35"/>
      <c r="H224" s="35"/>
      <c r="I224" s="35"/>
      <c r="J224" s="35"/>
      <c r="K224" s="35"/>
      <c r="L224" s="36"/>
      <c r="M224" s="36"/>
      <c r="N224" s="36"/>
      <c r="O224" s="37"/>
      <c r="P224" s="37"/>
    </row>
    <row r="225" spans="1:16" ht="15" customHeight="1">
      <c r="A225" s="33" t="str">
        <f>IF($B225="","",COUNTA($B$4:B225))</f>
        <v/>
      </c>
      <c r="B225" s="38"/>
      <c r="C225" s="33"/>
      <c r="D225" s="33"/>
      <c r="E225" s="33"/>
      <c r="F225" s="33"/>
      <c r="G225" s="35"/>
      <c r="H225" s="35"/>
      <c r="I225" s="35"/>
      <c r="J225" s="35"/>
      <c r="K225" s="35"/>
      <c r="L225" s="36"/>
      <c r="M225" s="36"/>
      <c r="N225" s="36"/>
      <c r="O225" s="37"/>
      <c r="P225" s="37"/>
    </row>
    <row r="226" spans="1:16" ht="15" customHeight="1">
      <c r="A226" s="33" t="str">
        <f>IF($B226="","",COUNTA($B$4:B226))</f>
        <v/>
      </c>
      <c r="B226" s="38"/>
      <c r="C226" s="33"/>
      <c r="D226" s="33"/>
      <c r="E226" s="33"/>
      <c r="F226" s="33"/>
      <c r="G226" s="35"/>
      <c r="H226" s="35"/>
      <c r="I226" s="35"/>
      <c r="J226" s="35"/>
      <c r="K226" s="35"/>
      <c r="L226" s="36"/>
      <c r="M226" s="36"/>
      <c r="N226" s="36"/>
      <c r="O226" s="37"/>
      <c r="P226" s="37"/>
    </row>
    <row r="227" spans="1:16" ht="15" customHeight="1">
      <c r="A227" s="33" t="str">
        <f>IF($B227="","",COUNTA($B$4:B227))</f>
        <v/>
      </c>
      <c r="B227" s="38"/>
      <c r="C227" s="33"/>
      <c r="D227" s="33"/>
      <c r="E227" s="33"/>
      <c r="F227" s="33"/>
      <c r="G227" s="35"/>
      <c r="H227" s="35"/>
      <c r="I227" s="35"/>
      <c r="J227" s="35"/>
      <c r="K227" s="35"/>
      <c r="L227" s="36"/>
      <c r="M227" s="36"/>
      <c r="N227" s="36"/>
      <c r="O227" s="37"/>
      <c r="P227" s="37"/>
    </row>
    <row r="228" spans="1:16" ht="15" customHeight="1">
      <c r="A228" s="33" t="str">
        <f>IF($B228="","",COUNTA($B$4:B228))</f>
        <v/>
      </c>
      <c r="B228" s="38"/>
      <c r="C228" s="33"/>
      <c r="D228" s="33"/>
      <c r="E228" s="33"/>
      <c r="F228" s="33"/>
      <c r="G228" s="35"/>
      <c r="H228" s="35"/>
      <c r="I228" s="35"/>
      <c r="J228" s="35"/>
      <c r="K228" s="35"/>
      <c r="L228" s="36"/>
      <c r="M228" s="36"/>
      <c r="N228" s="36"/>
      <c r="O228" s="37"/>
      <c r="P228" s="37"/>
    </row>
    <row r="229" spans="1:16" ht="15" customHeight="1">
      <c r="A229" s="33" t="str">
        <f>IF($B229="","",COUNTA($B$4:B229))</f>
        <v/>
      </c>
      <c r="B229" s="38"/>
      <c r="C229" s="33"/>
      <c r="D229" s="33"/>
      <c r="E229" s="33"/>
      <c r="F229" s="33"/>
      <c r="G229" s="35"/>
      <c r="H229" s="35"/>
      <c r="I229" s="35"/>
      <c r="J229" s="35"/>
      <c r="K229" s="35"/>
      <c r="L229" s="36"/>
      <c r="M229" s="36"/>
      <c r="N229" s="36"/>
      <c r="O229" s="37"/>
      <c r="P229" s="37"/>
    </row>
    <row r="230" spans="1:16" ht="15" customHeight="1">
      <c r="A230" s="33" t="str">
        <f>IF($B230="","",COUNTA($B$4:B230))</f>
        <v/>
      </c>
      <c r="B230" s="38"/>
      <c r="C230" s="33"/>
      <c r="D230" s="33"/>
      <c r="E230" s="33"/>
      <c r="F230" s="33"/>
      <c r="G230" s="35"/>
      <c r="H230" s="35"/>
      <c r="I230" s="35"/>
      <c r="J230" s="35"/>
      <c r="K230" s="35"/>
      <c r="L230" s="36"/>
      <c r="M230" s="36"/>
      <c r="N230" s="36"/>
      <c r="O230" s="37"/>
      <c r="P230" s="37"/>
    </row>
    <row r="231" spans="1:16" ht="15" customHeight="1">
      <c r="A231" s="33" t="str">
        <f>IF($B231="","",COUNTA($B$4:B231))</f>
        <v/>
      </c>
      <c r="B231" s="38"/>
      <c r="C231" s="33"/>
      <c r="D231" s="33"/>
      <c r="E231" s="33"/>
      <c r="F231" s="33"/>
      <c r="G231" s="35"/>
      <c r="H231" s="35"/>
      <c r="I231" s="35"/>
      <c r="J231" s="35"/>
      <c r="K231" s="35"/>
      <c r="L231" s="36"/>
      <c r="M231" s="36"/>
      <c r="N231" s="36"/>
      <c r="O231" s="37"/>
      <c r="P231" s="37"/>
    </row>
    <row r="232" spans="1:16" ht="15" customHeight="1">
      <c r="A232" s="33" t="str">
        <f>IF($B232="","",COUNTA($B$4:B232))</f>
        <v/>
      </c>
      <c r="B232" s="38"/>
      <c r="C232" s="33"/>
      <c r="D232" s="33"/>
      <c r="E232" s="33"/>
      <c r="F232" s="33"/>
      <c r="G232" s="35"/>
      <c r="H232" s="35"/>
      <c r="I232" s="35"/>
      <c r="J232" s="35"/>
      <c r="K232" s="35"/>
      <c r="L232" s="36"/>
      <c r="M232" s="36"/>
      <c r="N232" s="36"/>
      <c r="O232" s="37"/>
      <c r="P232" s="37"/>
    </row>
    <row r="233" spans="1:16" ht="15" customHeight="1">
      <c r="A233" s="33" t="str">
        <f>IF($B233="","",COUNTA($B$4:B233))</f>
        <v/>
      </c>
      <c r="B233" s="38"/>
      <c r="C233" s="33"/>
      <c r="D233" s="33"/>
      <c r="E233" s="33"/>
      <c r="F233" s="33"/>
      <c r="G233" s="35"/>
      <c r="H233" s="35"/>
      <c r="I233" s="35"/>
      <c r="J233" s="35"/>
      <c r="K233" s="35"/>
      <c r="L233" s="36"/>
      <c r="M233" s="36"/>
      <c r="N233" s="36"/>
      <c r="O233" s="37"/>
      <c r="P233" s="37"/>
    </row>
    <row r="234" spans="1:16" ht="15" customHeight="1">
      <c r="A234" s="33" t="str">
        <f>IF($B234="","",COUNTA($B$4:B234))</f>
        <v/>
      </c>
      <c r="B234" s="38"/>
      <c r="C234" s="33"/>
      <c r="D234" s="33"/>
      <c r="E234" s="33"/>
      <c r="F234" s="33"/>
      <c r="G234" s="35"/>
      <c r="H234" s="35"/>
      <c r="I234" s="35"/>
      <c r="J234" s="35"/>
      <c r="K234" s="35"/>
      <c r="L234" s="36"/>
      <c r="M234" s="36"/>
      <c r="N234" s="36"/>
      <c r="O234" s="37"/>
      <c r="P234" s="37"/>
    </row>
    <row r="235" spans="1:16" ht="15" customHeight="1">
      <c r="A235" s="33" t="str">
        <f>IF($B235="","",COUNTA($B$4:B235))</f>
        <v/>
      </c>
      <c r="B235" s="38"/>
      <c r="C235" s="33"/>
      <c r="D235" s="33"/>
      <c r="E235" s="33"/>
      <c r="F235" s="33"/>
      <c r="G235" s="35"/>
      <c r="H235" s="35"/>
      <c r="I235" s="35"/>
      <c r="J235" s="35"/>
      <c r="K235" s="35"/>
      <c r="L235" s="36"/>
      <c r="M235" s="36"/>
      <c r="N235" s="36"/>
      <c r="O235" s="37"/>
      <c r="P235" s="37"/>
    </row>
    <row r="236" spans="1:16" ht="15" customHeight="1">
      <c r="A236" s="33" t="str">
        <f>IF($B236="","",COUNTA($B$4:B236))</f>
        <v/>
      </c>
      <c r="B236" s="38"/>
      <c r="C236" s="33"/>
      <c r="D236" s="33"/>
      <c r="E236" s="33"/>
      <c r="F236" s="33"/>
      <c r="G236" s="35"/>
      <c r="H236" s="35"/>
      <c r="I236" s="35"/>
      <c r="J236" s="35"/>
      <c r="K236" s="35"/>
      <c r="L236" s="36"/>
      <c r="M236" s="36"/>
      <c r="N236" s="36"/>
      <c r="O236" s="37"/>
      <c r="P236" s="37"/>
    </row>
    <row r="237" spans="1:16" ht="15" customHeight="1">
      <c r="A237" s="33" t="str">
        <f>IF($B237="","",COUNTA($B$4:B237))</f>
        <v/>
      </c>
      <c r="B237" s="38"/>
      <c r="C237" s="33"/>
      <c r="D237" s="33"/>
      <c r="E237" s="33"/>
      <c r="F237" s="33"/>
      <c r="G237" s="35"/>
      <c r="H237" s="35"/>
      <c r="I237" s="35"/>
      <c r="J237" s="35"/>
      <c r="K237" s="35"/>
      <c r="L237" s="36"/>
      <c r="M237" s="36"/>
      <c r="N237" s="36"/>
      <c r="O237" s="37"/>
      <c r="P237" s="37"/>
    </row>
    <row r="238" spans="1:16" ht="15" customHeight="1">
      <c r="A238" s="33" t="str">
        <f>IF($B238="","",COUNTA($B$4:B238))</f>
        <v/>
      </c>
      <c r="B238" s="38"/>
      <c r="C238" s="33"/>
      <c r="D238" s="33"/>
      <c r="E238" s="33"/>
      <c r="F238" s="33"/>
      <c r="G238" s="35"/>
      <c r="H238" s="35"/>
      <c r="I238" s="35"/>
      <c r="J238" s="35"/>
      <c r="K238" s="35"/>
      <c r="L238" s="36"/>
      <c r="M238" s="36"/>
      <c r="N238" s="36"/>
      <c r="O238" s="37"/>
      <c r="P238" s="37"/>
    </row>
    <row r="239" spans="1:16" ht="15" customHeight="1">
      <c r="A239" s="33" t="str">
        <f>IF($B239="","",COUNTA($B$4:B239))</f>
        <v/>
      </c>
      <c r="B239" s="38"/>
      <c r="C239" s="33"/>
      <c r="D239" s="33"/>
      <c r="E239" s="33"/>
      <c r="F239" s="33"/>
      <c r="G239" s="35"/>
      <c r="H239" s="35"/>
      <c r="I239" s="35"/>
      <c r="J239" s="35"/>
      <c r="K239" s="35"/>
      <c r="L239" s="36"/>
      <c r="M239" s="36"/>
      <c r="N239" s="36"/>
      <c r="O239" s="37"/>
      <c r="P239" s="37"/>
    </row>
    <row r="240" spans="1:16" ht="15" customHeight="1">
      <c r="A240" s="33" t="str">
        <f>IF($B240="","",COUNTA($B$4:B240))</f>
        <v/>
      </c>
      <c r="B240" s="38"/>
      <c r="C240" s="33"/>
      <c r="D240" s="33"/>
      <c r="E240" s="33"/>
      <c r="F240" s="33"/>
      <c r="G240" s="35"/>
      <c r="H240" s="35"/>
      <c r="I240" s="35"/>
      <c r="J240" s="35"/>
      <c r="K240" s="35"/>
      <c r="L240" s="36"/>
      <c r="M240" s="36"/>
      <c r="N240" s="36"/>
      <c r="O240" s="37"/>
      <c r="P240" s="37"/>
    </row>
    <row r="241" spans="1:16" ht="15" customHeight="1">
      <c r="A241" s="33" t="str">
        <f>IF($B241="","",COUNTA($B$4:B241))</f>
        <v/>
      </c>
      <c r="B241" s="38"/>
      <c r="C241" s="33"/>
      <c r="D241" s="33"/>
      <c r="E241" s="33"/>
      <c r="F241" s="33"/>
      <c r="G241" s="35"/>
      <c r="H241" s="35"/>
      <c r="I241" s="35"/>
      <c r="J241" s="35"/>
      <c r="K241" s="35"/>
      <c r="L241" s="36"/>
      <c r="M241" s="36"/>
      <c r="N241" s="36"/>
      <c r="O241" s="37"/>
      <c r="P241" s="37"/>
    </row>
    <row r="242" spans="1:16" ht="15" customHeight="1">
      <c r="A242" s="33" t="str">
        <f>IF($B242="","",COUNTA($B$4:B242))</f>
        <v/>
      </c>
      <c r="B242" s="38"/>
      <c r="C242" s="33"/>
      <c r="D242" s="33"/>
      <c r="E242" s="33"/>
      <c r="F242" s="33"/>
      <c r="G242" s="35"/>
      <c r="H242" s="35"/>
      <c r="I242" s="35"/>
      <c r="J242" s="35"/>
      <c r="K242" s="35"/>
      <c r="L242" s="36"/>
      <c r="M242" s="36"/>
      <c r="N242" s="36"/>
      <c r="O242" s="37"/>
      <c r="P242" s="37"/>
    </row>
    <row r="243" spans="1:16" ht="15" customHeight="1">
      <c r="A243" s="33" t="str">
        <f>IF($B243="","",COUNTA($B$4:B243))</f>
        <v/>
      </c>
      <c r="B243" s="38"/>
      <c r="C243" s="33"/>
      <c r="D243" s="33"/>
      <c r="E243" s="33"/>
      <c r="F243" s="33"/>
      <c r="G243" s="35"/>
      <c r="H243" s="35"/>
      <c r="I243" s="35"/>
      <c r="J243" s="35"/>
      <c r="K243" s="35"/>
      <c r="L243" s="36"/>
      <c r="M243" s="36"/>
      <c r="N243" s="36"/>
      <c r="O243" s="37"/>
      <c r="P243" s="37"/>
    </row>
    <row r="244" spans="1:16" ht="15" customHeight="1">
      <c r="A244" s="33" t="str">
        <f>IF($B244="","",COUNTA($B$4:B244))</f>
        <v/>
      </c>
      <c r="B244" s="38"/>
      <c r="C244" s="33"/>
      <c r="D244" s="33"/>
      <c r="E244" s="33"/>
      <c r="F244" s="33"/>
      <c r="G244" s="35"/>
      <c r="H244" s="35"/>
      <c r="I244" s="35"/>
      <c r="J244" s="35"/>
      <c r="K244" s="35"/>
      <c r="L244" s="36"/>
      <c r="M244" s="36"/>
      <c r="N244" s="36"/>
      <c r="O244" s="37"/>
      <c r="P244" s="37"/>
    </row>
    <row r="245" spans="1:16" ht="15" customHeight="1">
      <c r="A245" s="33" t="str">
        <f>IF($B245="","",COUNTA($B$4:B245))</f>
        <v/>
      </c>
      <c r="B245" s="38"/>
      <c r="C245" s="33"/>
      <c r="D245" s="33"/>
      <c r="E245" s="33"/>
      <c r="F245" s="33"/>
      <c r="G245" s="35"/>
      <c r="H245" s="35"/>
      <c r="I245" s="35"/>
      <c r="J245" s="35"/>
      <c r="K245" s="35"/>
      <c r="L245" s="36"/>
      <c r="M245" s="36"/>
      <c r="N245" s="36"/>
      <c r="O245" s="37"/>
      <c r="P245" s="37"/>
    </row>
    <row r="246" spans="1:16" ht="15" customHeight="1">
      <c r="A246" s="33" t="str">
        <f>IF($B246="","",COUNTA($B$4:B246))</f>
        <v/>
      </c>
      <c r="B246" s="38"/>
      <c r="C246" s="33"/>
      <c r="D246" s="33"/>
      <c r="E246" s="33"/>
      <c r="F246" s="33"/>
      <c r="G246" s="35"/>
      <c r="H246" s="35"/>
      <c r="I246" s="35"/>
      <c r="J246" s="35"/>
      <c r="K246" s="35"/>
      <c r="L246" s="36"/>
      <c r="M246" s="36"/>
      <c r="N246" s="36"/>
      <c r="O246" s="37"/>
      <c r="P246" s="37"/>
    </row>
    <row r="247" spans="1:16" ht="15" customHeight="1">
      <c r="A247" s="33" t="str">
        <f>IF($B247="","",COUNTA($B$4:B247))</f>
        <v/>
      </c>
      <c r="B247" s="38"/>
      <c r="C247" s="33"/>
      <c r="D247" s="33"/>
      <c r="E247" s="33"/>
      <c r="F247" s="33"/>
      <c r="G247" s="35"/>
      <c r="H247" s="35"/>
      <c r="I247" s="35"/>
      <c r="J247" s="35"/>
      <c r="K247" s="35"/>
      <c r="L247" s="36"/>
      <c r="M247" s="36"/>
      <c r="N247" s="36"/>
      <c r="O247" s="37"/>
      <c r="P247" s="37"/>
    </row>
    <row r="248" spans="1:16" ht="15" customHeight="1">
      <c r="A248" s="33" t="str">
        <f>IF($B248="","",COUNTA($B$4:B248))</f>
        <v/>
      </c>
      <c r="B248" s="38"/>
      <c r="C248" s="33"/>
      <c r="D248" s="33"/>
      <c r="E248" s="33"/>
      <c r="F248" s="33"/>
      <c r="G248" s="35"/>
      <c r="H248" s="35"/>
      <c r="I248" s="35"/>
      <c r="J248" s="35"/>
      <c r="K248" s="35"/>
      <c r="L248" s="36"/>
      <c r="M248" s="36"/>
      <c r="N248" s="36"/>
      <c r="O248" s="37"/>
      <c r="P248" s="37"/>
    </row>
    <row r="249" spans="1:16" ht="15" customHeight="1">
      <c r="A249" s="33" t="str">
        <f>IF($B249="","",COUNTA($B$4:B249))</f>
        <v/>
      </c>
      <c r="B249" s="38"/>
      <c r="C249" s="33"/>
      <c r="D249" s="33"/>
      <c r="E249" s="33"/>
      <c r="F249" s="33"/>
      <c r="G249" s="35"/>
      <c r="H249" s="35"/>
      <c r="I249" s="35"/>
      <c r="J249" s="35"/>
      <c r="K249" s="35"/>
      <c r="L249" s="36"/>
      <c r="M249" s="36"/>
      <c r="N249" s="36"/>
      <c r="O249" s="37"/>
      <c r="P249" s="37"/>
    </row>
    <row r="250" spans="1:16" ht="15" customHeight="1">
      <c r="A250" s="33" t="str">
        <f>IF($B250="","",COUNTA($B$4:B250))</f>
        <v/>
      </c>
      <c r="B250" s="38"/>
      <c r="C250" s="33"/>
      <c r="D250" s="33"/>
      <c r="E250" s="33"/>
      <c r="F250" s="33"/>
      <c r="G250" s="35"/>
      <c r="H250" s="35"/>
      <c r="I250" s="35"/>
      <c r="J250" s="35"/>
      <c r="K250" s="35"/>
      <c r="L250" s="36"/>
      <c r="M250" s="36"/>
      <c r="N250" s="36"/>
      <c r="O250" s="37"/>
      <c r="P250" s="37"/>
    </row>
    <row r="251" spans="1:16" ht="15" customHeight="1">
      <c r="A251" s="33" t="str">
        <f>IF($B251="","",COUNTA($B$4:B251))</f>
        <v/>
      </c>
      <c r="B251" s="38"/>
      <c r="C251" s="33"/>
      <c r="D251" s="33"/>
      <c r="E251" s="33"/>
      <c r="F251" s="33"/>
      <c r="G251" s="35"/>
      <c r="H251" s="35"/>
      <c r="I251" s="35"/>
      <c r="J251" s="35"/>
      <c r="K251" s="35"/>
      <c r="L251" s="36"/>
      <c r="M251" s="36"/>
      <c r="N251" s="36"/>
      <c r="O251" s="37"/>
      <c r="P251" s="37"/>
    </row>
    <row r="252" spans="1:16" ht="15" customHeight="1">
      <c r="A252" s="33" t="str">
        <f>IF($B252="","",COUNTA($B$4:B252))</f>
        <v/>
      </c>
      <c r="B252" s="38"/>
      <c r="C252" s="33"/>
      <c r="D252" s="33"/>
      <c r="E252" s="33"/>
      <c r="F252" s="33"/>
      <c r="G252" s="35"/>
      <c r="H252" s="35"/>
      <c r="I252" s="35"/>
      <c r="J252" s="35"/>
      <c r="K252" s="35"/>
      <c r="L252" s="36"/>
      <c r="M252" s="36"/>
      <c r="N252" s="36"/>
      <c r="O252" s="37"/>
      <c r="P252" s="37"/>
    </row>
    <row r="253" spans="1:16" ht="15" customHeight="1">
      <c r="A253" s="33" t="str">
        <f>IF($B253="","",COUNTA($B$4:B253))</f>
        <v/>
      </c>
      <c r="B253" s="38"/>
      <c r="C253" s="33"/>
      <c r="D253" s="33"/>
      <c r="E253" s="33"/>
      <c r="F253" s="33"/>
      <c r="G253" s="35"/>
      <c r="H253" s="35"/>
      <c r="I253" s="35"/>
      <c r="J253" s="35"/>
      <c r="K253" s="35"/>
      <c r="L253" s="36"/>
      <c r="M253" s="36"/>
      <c r="N253" s="36"/>
      <c r="O253" s="37"/>
      <c r="P253" s="37"/>
    </row>
    <row r="254" spans="1:16" ht="15" customHeight="1">
      <c r="A254" s="33" t="str">
        <f>IF($B254="","",COUNTA($B$4:B254))</f>
        <v/>
      </c>
      <c r="B254" s="38"/>
      <c r="C254" s="33"/>
      <c r="D254" s="33"/>
      <c r="E254" s="33"/>
      <c r="F254" s="33"/>
      <c r="G254" s="35"/>
      <c r="H254" s="35"/>
      <c r="I254" s="35"/>
      <c r="J254" s="35"/>
      <c r="K254" s="35"/>
      <c r="L254" s="36"/>
      <c r="M254" s="36"/>
      <c r="N254" s="36"/>
      <c r="O254" s="37"/>
      <c r="P254" s="37"/>
    </row>
    <row r="255" spans="1:16" ht="15" customHeight="1">
      <c r="A255" s="33" t="str">
        <f>IF($B255="","",COUNTA($B$4:B255))</f>
        <v/>
      </c>
      <c r="B255" s="38"/>
      <c r="C255" s="33"/>
      <c r="D255" s="33"/>
      <c r="E255" s="33"/>
      <c r="F255" s="33"/>
      <c r="G255" s="35"/>
      <c r="H255" s="35"/>
      <c r="I255" s="35"/>
      <c r="J255" s="35"/>
      <c r="K255" s="35"/>
      <c r="L255" s="36"/>
      <c r="M255" s="36"/>
      <c r="N255" s="36"/>
      <c r="O255" s="37"/>
      <c r="P255" s="37"/>
    </row>
    <row r="256" spans="1:16" ht="15" customHeight="1">
      <c r="A256" s="33" t="str">
        <f>IF($B256="","",COUNTA($B$4:B256))</f>
        <v/>
      </c>
      <c r="B256" s="38"/>
      <c r="C256" s="33"/>
      <c r="D256" s="33"/>
      <c r="E256" s="33"/>
      <c r="F256" s="33"/>
      <c r="G256" s="35"/>
      <c r="H256" s="35"/>
      <c r="I256" s="35"/>
      <c r="J256" s="35"/>
      <c r="K256" s="35"/>
      <c r="L256" s="36"/>
      <c r="M256" s="36"/>
      <c r="N256" s="36"/>
      <c r="O256" s="37"/>
      <c r="P256" s="37"/>
    </row>
    <row r="257" spans="1:16" ht="15" customHeight="1">
      <c r="A257" s="33" t="str">
        <f>IF($B257="","",COUNTA($B$4:B257))</f>
        <v/>
      </c>
      <c r="B257" s="38"/>
      <c r="C257" s="33"/>
      <c r="D257" s="33"/>
      <c r="E257" s="33"/>
      <c r="F257" s="33"/>
      <c r="G257" s="35"/>
      <c r="H257" s="35"/>
      <c r="I257" s="35"/>
      <c r="J257" s="35"/>
      <c r="K257" s="35"/>
      <c r="L257" s="36"/>
      <c r="M257" s="36"/>
      <c r="N257" s="36"/>
      <c r="O257" s="37"/>
      <c r="P257" s="37"/>
    </row>
    <row r="258" spans="1:16" ht="15" customHeight="1">
      <c r="A258" s="33" t="str">
        <f>IF($B258="","",COUNTA($B$4:B258))</f>
        <v/>
      </c>
      <c r="B258" s="38"/>
      <c r="C258" s="33"/>
      <c r="D258" s="33"/>
      <c r="E258" s="33"/>
      <c r="F258" s="33"/>
      <c r="G258" s="35"/>
      <c r="H258" s="35"/>
      <c r="I258" s="35"/>
      <c r="J258" s="35"/>
      <c r="K258" s="35"/>
      <c r="L258" s="36"/>
      <c r="M258" s="36"/>
      <c r="N258" s="36"/>
      <c r="O258" s="37"/>
      <c r="P258" s="37"/>
    </row>
    <row r="259" spans="1:16" ht="15" customHeight="1">
      <c r="A259" s="33" t="str">
        <f>IF($B259="","",COUNTA($B$4:B259))</f>
        <v/>
      </c>
      <c r="B259" s="38"/>
      <c r="C259" s="33"/>
      <c r="D259" s="33"/>
      <c r="E259" s="33"/>
      <c r="F259" s="33"/>
      <c r="G259" s="35"/>
      <c r="H259" s="35"/>
      <c r="I259" s="35"/>
      <c r="J259" s="35"/>
      <c r="K259" s="35"/>
      <c r="L259" s="36"/>
      <c r="M259" s="36"/>
      <c r="N259" s="36"/>
      <c r="O259" s="37"/>
      <c r="P259" s="37"/>
    </row>
    <row r="260" spans="1:16" ht="15" customHeight="1">
      <c r="A260" s="33" t="str">
        <f>IF($B260="","",COUNTA($B$4:B260))</f>
        <v/>
      </c>
      <c r="B260" s="38"/>
      <c r="C260" s="33"/>
      <c r="D260" s="33"/>
      <c r="E260" s="33"/>
      <c r="F260" s="33"/>
      <c r="G260" s="35"/>
      <c r="H260" s="35"/>
      <c r="I260" s="35"/>
      <c r="J260" s="35"/>
      <c r="K260" s="35"/>
      <c r="L260" s="36"/>
      <c r="M260" s="36"/>
      <c r="N260" s="36"/>
      <c r="O260" s="37"/>
      <c r="P260" s="37"/>
    </row>
    <row r="261" spans="1:16" ht="15" customHeight="1">
      <c r="A261" s="33" t="str">
        <f>IF($B261="","",COUNTA($B$4:B261))</f>
        <v/>
      </c>
      <c r="B261" s="38"/>
      <c r="C261" s="33"/>
      <c r="D261" s="33"/>
      <c r="E261" s="33"/>
      <c r="F261" s="33"/>
      <c r="G261" s="35"/>
      <c r="H261" s="35"/>
      <c r="I261" s="35"/>
      <c r="J261" s="35"/>
      <c r="K261" s="35"/>
      <c r="L261" s="36"/>
      <c r="M261" s="36"/>
      <c r="N261" s="36"/>
      <c r="O261" s="37"/>
      <c r="P261" s="37"/>
    </row>
    <row r="262" spans="1:16" ht="15" customHeight="1">
      <c r="A262" s="33" t="str">
        <f>IF($B262="","",COUNTA($B$4:B262))</f>
        <v/>
      </c>
      <c r="B262" s="38"/>
      <c r="C262" s="33"/>
      <c r="D262" s="33"/>
      <c r="E262" s="33"/>
      <c r="F262" s="33"/>
      <c r="G262" s="35"/>
      <c r="H262" s="35"/>
      <c r="I262" s="35"/>
      <c r="J262" s="35"/>
      <c r="K262" s="35"/>
      <c r="L262" s="36"/>
      <c r="M262" s="36"/>
      <c r="N262" s="36"/>
      <c r="O262" s="37"/>
      <c r="P262" s="37"/>
    </row>
    <row r="263" spans="1:16" ht="15" customHeight="1">
      <c r="A263" s="33" t="str">
        <f>IF($B263="","",COUNTA($B$4:B263))</f>
        <v/>
      </c>
      <c r="B263" s="38"/>
      <c r="C263" s="33"/>
      <c r="D263" s="33"/>
      <c r="E263" s="33"/>
      <c r="F263" s="33"/>
      <c r="G263" s="35"/>
      <c r="H263" s="35"/>
      <c r="I263" s="35"/>
      <c r="J263" s="35"/>
      <c r="K263" s="35"/>
      <c r="L263" s="36"/>
      <c r="M263" s="36"/>
      <c r="N263" s="36"/>
      <c r="O263" s="37"/>
      <c r="P263" s="37"/>
    </row>
    <row r="264" spans="1:16" ht="15" customHeight="1">
      <c r="A264" s="33" t="str">
        <f>IF($B264="","",COUNTA($B$4:B264))</f>
        <v/>
      </c>
      <c r="B264" s="38"/>
      <c r="C264" s="33"/>
      <c r="D264" s="33"/>
      <c r="E264" s="33"/>
      <c r="F264" s="33"/>
      <c r="G264" s="35"/>
      <c r="H264" s="35"/>
      <c r="I264" s="35"/>
      <c r="J264" s="35"/>
      <c r="K264" s="35"/>
      <c r="L264" s="36"/>
      <c r="M264" s="36"/>
      <c r="N264" s="36"/>
      <c r="O264" s="37"/>
      <c r="P264" s="37"/>
    </row>
    <row r="265" spans="1:16" ht="15" customHeight="1">
      <c r="A265" s="33" t="str">
        <f>IF($B265="","",COUNTA($B$4:B265))</f>
        <v/>
      </c>
      <c r="B265" s="38"/>
      <c r="C265" s="33"/>
      <c r="D265" s="33"/>
      <c r="E265" s="33"/>
      <c r="F265" s="33"/>
      <c r="G265" s="35"/>
      <c r="H265" s="35"/>
      <c r="I265" s="35"/>
      <c r="J265" s="35"/>
      <c r="K265" s="35"/>
      <c r="L265" s="36"/>
      <c r="M265" s="36"/>
      <c r="N265" s="36"/>
      <c r="O265" s="37"/>
      <c r="P265" s="37"/>
    </row>
    <row r="266" spans="1:16" ht="15" customHeight="1">
      <c r="A266" s="33" t="str">
        <f>IF($B266="","",COUNTA($B$4:B266))</f>
        <v/>
      </c>
      <c r="B266" s="38"/>
      <c r="C266" s="33"/>
      <c r="D266" s="33"/>
      <c r="E266" s="33"/>
      <c r="F266" s="33"/>
      <c r="G266" s="35"/>
      <c r="H266" s="35"/>
      <c r="I266" s="35"/>
      <c r="J266" s="35"/>
      <c r="K266" s="35"/>
      <c r="L266" s="36"/>
      <c r="M266" s="36"/>
      <c r="N266" s="36"/>
      <c r="O266" s="37"/>
      <c r="P266" s="37"/>
    </row>
    <row r="267" spans="1:16" ht="15" customHeight="1">
      <c r="A267" s="27"/>
      <c r="B267" s="28"/>
      <c r="C267" s="27"/>
      <c r="D267" s="27"/>
      <c r="E267" s="27"/>
      <c r="F267" s="27"/>
      <c r="G267" s="30"/>
      <c r="H267" s="30"/>
      <c r="I267" s="30"/>
      <c r="J267" s="30"/>
      <c r="K267" s="30"/>
      <c r="L267" s="31"/>
      <c r="M267" s="31"/>
      <c r="N267" s="31"/>
      <c r="O267" s="32"/>
      <c r="P267" s="32"/>
    </row>
    <row r="268" spans="1:16" ht="15" customHeight="1">
      <c r="A268" s="39">
        <f>IF($B268="","",COUNTA($B$4:B268))</f>
        <v>204</v>
      </c>
      <c r="B268" s="40" t="s">
        <v>416</v>
      </c>
      <c r="C268" s="39" t="s">
        <v>417</v>
      </c>
      <c r="D268" s="39"/>
      <c r="E268" s="41" t="s">
        <v>418</v>
      </c>
      <c r="F268" s="39" t="s">
        <v>419</v>
      </c>
      <c r="G268" s="42">
        <v>0</v>
      </c>
      <c r="H268" s="42">
        <v>0</v>
      </c>
      <c r="I268" s="42"/>
      <c r="J268" s="42">
        <v>1963</v>
      </c>
      <c r="K268" s="42">
        <v>3</v>
      </c>
      <c r="L268" s="43">
        <v>180</v>
      </c>
      <c r="M268" s="43">
        <f>IF(OR($K268="",$L268=""),"",ROUND('⚙️ SUPUESTOS'!$C$14*'⚙️ SUPUESTOS'!$C$18*SQRT($L268)*$K268,0))</f>
        <v>543</v>
      </c>
      <c r="N268" s="43"/>
      <c r="O268" s="44">
        <v>41.649940000000001</v>
      </c>
      <c r="P268" s="44">
        <v>-4.71035</v>
      </c>
    </row>
    <row r="269" spans="1:16" ht="15" customHeight="1">
      <c r="A269" s="39">
        <f>IF($B269="","",COUNTA($B$4:B269))</f>
        <v>205</v>
      </c>
      <c r="B269" s="40" t="s">
        <v>420</v>
      </c>
      <c r="C269" s="39" t="s">
        <v>421</v>
      </c>
      <c r="D269" s="39"/>
      <c r="E269" s="41" t="s">
        <v>418</v>
      </c>
      <c r="F269" s="39" t="s">
        <v>419</v>
      </c>
      <c r="G269" s="42">
        <v>0</v>
      </c>
      <c r="H269" s="42">
        <v>0</v>
      </c>
      <c r="I269" s="42"/>
      <c r="J269" s="42">
        <v>1962</v>
      </c>
      <c r="K269" s="42">
        <v>3</v>
      </c>
      <c r="L269" s="43">
        <v>395</v>
      </c>
      <c r="M269" s="43">
        <f>IF(OR($K269="",$L269=""),"",ROUND('⚙️ SUPUESTOS'!$C$14*'⚙️ SUPUESTOS'!$C$18*SQRT($L269)*$K269,0))</f>
        <v>805</v>
      </c>
      <c r="N269" s="43"/>
      <c r="O269" s="44">
        <v>41.64837</v>
      </c>
      <c r="P269" s="44">
        <v>-4.70852</v>
      </c>
    </row>
    <row r="270" spans="1:16" ht="15" customHeight="1">
      <c r="A270" s="39">
        <f>IF($B270="","",COUNTA($B$4:B270))</f>
        <v>206</v>
      </c>
      <c r="B270" s="40" t="s">
        <v>422</v>
      </c>
      <c r="C270" s="39" t="s">
        <v>423</v>
      </c>
      <c r="D270" s="39"/>
      <c r="E270" s="41" t="s">
        <v>418</v>
      </c>
      <c r="F270" s="39" t="s">
        <v>419</v>
      </c>
      <c r="G270" s="42">
        <v>0</v>
      </c>
      <c r="H270" s="42">
        <v>0</v>
      </c>
      <c r="I270" s="42"/>
      <c r="J270" s="42">
        <v>1965</v>
      </c>
      <c r="K270" s="42">
        <v>5</v>
      </c>
      <c r="L270" s="43">
        <v>722</v>
      </c>
      <c r="M270" s="43">
        <f>IF(OR($K270="",$L270=""),"",ROUND('⚙️ SUPUESTOS'!$C$14*'⚙️ SUPUESTOS'!$C$18*SQRT($L270)*$K270,0))</f>
        <v>1814</v>
      </c>
      <c r="N270" s="43"/>
      <c r="O270" s="44">
        <v>41.649549999999998</v>
      </c>
      <c r="P270" s="44">
        <v>-4.7092000000000001</v>
      </c>
    </row>
    <row r="271" spans="1:16" ht="15" customHeight="1">
      <c r="A271" s="39">
        <f>IF($B271="","",COUNTA($B$4:B271))</f>
        <v>207</v>
      </c>
      <c r="B271" s="40" t="s">
        <v>424</v>
      </c>
      <c r="C271" s="39" t="s">
        <v>425</v>
      </c>
      <c r="D271" s="39"/>
      <c r="E271" s="41" t="s">
        <v>418</v>
      </c>
      <c r="F271" s="39" t="s">
        <v>419</v>
      </c>
      <c r="G271" s="42">
        <v>0</v>
      </c>
      <c r="H271" s="42">
        <v>0</v>
      </c>
      <c r="I271" s="42"/>
      <c r="J271" s="42">
        <v>1965</v>
      </c>
      <c r="K271" s="42">
        <v>3</v>
      </c>
      <c r="L271" s="43">
        <v>101</v>
      </c>
      <c r="M271" s="43">
        <f>IF(OR($K271="",$L271=""),"",ROUND('⚙️ SUPUESTOS'!$C$14*'⚙️ SUPUESTOS'!$C$18*SQRT($L271)*$K271,0))</f>
        <v>407</v>
      </c>
      <c r="N271" s="43"/>
      <c r="O271" s="44">
        <v>41.649619999999999</v>
      </c>
      <c r="P271" s="44">
        <v>-4.7088999999999999</v>
      </c>
    </row>
    <row r="272" spans="1:16" ht="15" customHeight="1">
      <c r="A272" s="39">
        <f>IF($B272="","",COUNTA($B$4:B272))</f>
        <v>208</v>
      </c>
      <c r="B272" s="40" t="s">
        <v>426</v>
      </c>
      <c r="C272" s="39" t="s">
        <v>427</v>
      </c>
      <c r="D272" s="39"/>
      <c r="E272" s="41" t="s">
        <v>418</v>
      </c>
      <c r="F272" s="39" t="s">
        <v>419</v>
      </c>
      <c r="G272" s="42">
        <v>0</v>
      </c>
      <c r="H272" s="42">
        <v>0</v>
      </c>
      <c r="I272" s="42"/>
      <c r="J272" s="42">
        <v>1965</v>
      </c>
      <c r="K272" s="42">
        <v>3</v>
      </c>
      <c r="L272" s="43">
        <v>98</v>
      </c>
      <c r="M272" s="43">
        <f>IF(OR($K272="",$L272=""),"",ROUND('⚙️ SUPUESTOS'!$C$14*'⚙️ SUPUESTOS'!$C$18*SQRT($L272)*$K272,0))</f>
        <v>401</v>
      </c>
      <c r="N272" s="43"/>
      <c r="O272" s="44">
        <v>41.649149999999999</v>
      </c>
      <c r="P272" s="44">
        <v>-4.7082800000000002</v>
      </c>
    </row>
    <row r="273" spans="1:16" ht="15" customHeight="1">
      <c r="A273" s="39">
        <f>IF($B273="","",COUNTA($B$4:B273))</f>
        <v>209</v>
      </c>
      <c r="B273" s="40" t="s">
        <v>428</v>
      </c>
      <c r="C273" s="39" t="s">
        <v>429</v>
      </c>
      <c r="D273" s="39"/>
      <c r="E273" s="41" t="s">
        <v>418</v>
      </c>
      <c r="F273" s="39" t="s">
        <v>419</v>
      </c>
      <c r="G273" s="42">
        <v>0</v>
      </c>
      <c r="H273" s="42">
        <v>0</v>
      </c>
      <c r="I273" s="42"/>
      <c r="J273" s="42">
        <v>1965</v>
      </c>
      <c r="K273" s="42">
        <v>3</v>
      </c>
      <c r="L273" s="43">
        <v>102</v>
      </c>
      <c r="M273" s="43">
        <f>IF(OR($K273="",$L273=""),"",ROUND('⚙️ SUPUESTOS'!$C$14*'⚙️ SUPUESTOS'!$C$18*SQRT($L273)*$K273,0))</f>
        <v>409</v>
      </c>
      <c r="N273" s="43"/>
      <c r="O273" s="44">
        <v>41.649929999999998</v>
      </c>
      <c r="P273" s="44">
        <v>-4.7082100000000002</v>
      </c>
    </row>
    <row r="274" spans="1:16" ht="15" customHeight="1">
      <c r="A274" s="39">
        <f>IF($B274="","",COUNTA($B$4:B274))</f>
        <v>210</v>
      </c>
      <c r="B274" s="40" t="s">
        <v>430</v>
      </c>
      <c r="C274" s="39" t="s">
        <v>431</v>
      </c>
      <c r="D274" s="39"/>
      <c r="E274" s="41" t="s">
        <v>418</v>
      </c>
      <c r="F274" s="39" t="s">
        <v>419</v>
      </c>
      <c r="G274" s="42">
        <v>0</v>
      </c>
      <c r="H274" s="42">
        <v>0</v>
      </c>
      <c r="I274" s="42"/>
      <c r="J274" s="42">
        <v>1965</v>
      </c>
      <c r="K274" s="42">
        <v>3</v>
      </c>
      <c r="L274" s="43">
        <v>102</v>
      </c>
      <c r="M274" s="43">
        <f>IF(OR($K274="",$L274=""),"",ROUND('⚙️ SUPUESTOS'!$C$14*'⚙️ SUPUESTOS'!$C$18*SQRT($L274)*$K274,0))</f>
        <v>409</v>
      </c>
      <c r="N274" s="43"/>
      <c r="O274" s="44">
        <v>41.649940000000001</v>
      </c>
      <c r="P274" s="44">
        <v>-4.7086499999999996</v>
      </c>
    </row>
    <row r="275" spans="1:16" ht="15" customHeight="1">
      <c r="A275" s="39">
        <f>IF($B275="","",COUNTA($B$4:B275))</f>
        <v>211</v>
      </c>
      <c r="B275" s="40" t="s">
        <v>432</v>
      </c>
      <c r="C275" s="39" t="s">
        <v>433</v>
      </c>
      <c r="D275" s="39"/>
      <c r="E275" s="41" t="s">
        <v>418</v>
      </c>
      <c r="F275" s="39" t="s">
        <v>419</v>
      </c>
      <c r="G275" s="42">
        <v>0</v>
      </c>
      <c r="H275" s="42">
        <v>0</v>
      </c>
      <c r="I275" s="42"/>
      <c r="J275" s="42">
        <v>1965</v>
      </c>
      <c r="K275" s="42">
        <v>3</v>
      </c>
      <c r="L275" s="43">
        <v>98</v>
      </c>
      <c r="M275" s="43">
        <f>IF(OR($K275="",$L275=""),"",ROUND('⚙️ SUPUESTOS'!$C$14*'⚙️ SUPUESTOS'!$C$18*SQRT($L275)*$K275,0))</f>
        <v>401</v>
      </c>
      <c r="N275" s="43"/>
      <c r="O275" s="44">
        <v>41.650039999999997</v>
      </c>
      <c r="P275" s="44">
        <v>-4.7088099999999997</v>
      </c>
    </row>
    <row r="276" spans="1:16" ht="15" customHeight="1">
      <c r="A276" s="39">
        <f>IF($B276="","",COUNTA($B$4:B276))</f>
        <v>212</v>
      </c>
      <c r="B276" s="40" t="s">
        <v>434</v>
      </c>
      <c r="C276" s="39" t="s">
        <v>435</v>
      </c>
      <c r="D276" s="39"/>
      <c r="E276" s="41" t="s">
        <v>418</v>
      </c>
      <c r="F276" s="39" t="s">
        <v>419</v>
      </c>
      <c r="G276" s="42">
        <v>0</v>
      </c>
      <c r="H276" s="42">
        <v>0</v>
      </c>
      <c r="I276" s="42"/>
      <c r="J276" s="42">
        <v>1965</v>
      </c>
      <c r="K276" s="42">
        <v>3</v>
      </c>
      <c r="L276" s="43">
        <v>100</v>
      </c>
      <c r="M276" s="43">
        <f>IF(OR($K276="",$L276=""),"",ROUND('⚙️ SUPUESTOS'!$C$14*'⚙️ SUPUESTOS'!$C$18*SQRT($L276)*$K276,0))</f>
        <v>405</v>
      </c>
      <c r="N276" s="43"/>
      <c r="O276" s="44">
        <v>41.64969</v>
      </c>
      <c r="P276" s="44">
        <v>-4.7080299999999999</v>
      </c>
    </row>
    <row r="277" spans="1:16" ht="15" customHeight="1">
      <c r="A277" s="39">
        <f>IF($B277="","",COUNTA($B$4:B277))</f>
        <v>213</v>
      </c>
      <c r="B277" s="40" t="s">
        <v>436</v>
      </c>
      <c r="C277" s="39" t="s">
        <v>437</v>
      </c>
      <c r="D277" s="39"/>
      <c r="E277" s="41" t="s">
        <v>418</v>
      </c>
      <c r="F277" s="39" t="s">
        <v>419</v>
      </c>
      <c r="G277" s="42">
        <v>0</v>
      </c>
      <c r="H277" s="42">
        <v>0</v>
      </c>
      <c r="I277" s="42"/>
      <c r="J277" s="42">
        <v>1965</v>
      </c>
      <c r="K277" s="42">
        <v>3</v>
      </c>
      <c r="L277" s="43">
        <v>117</v>
      </c>
      <c r="M277" s="43">
        <f>IF(OR($K277="",$L277=""),"",ROUND('⚙️ SUPUESTOS'!$C$14*'⚙️ SUPUESTOS'!$C$18*SQRT($L277)*$K277,0))</f>
        <v>438</v>
      </c>
      <c r="N277" s="43"/>
      <c r="O277" s="44">
        <v>41.649450000000002</v>
      </c>
      <c r="P277" s="44">
        <v>-4.7098000000000004</v>
      </c>
    </row>
    <row r="278" spans="1:16" ht="15" customHeight="1">
      <c r="A278" s="39">
        <f>IF($B278="","",COUNTA($B$4:B278))</f>
        <v>214</v>
      </c>
      <c r="B278" s="40" t="s">
        <v>438</v>
      </c>
      <c r="C278" s="39" t="s">
        <v>439</v>
      </c>
      <c r="D278" s="39"/>
      <c r="E278" s="41" t="s">
        <v>418</v>
      </c>
      <c r="F278" s="39" t="s">
        <v>419</v>
      </c>
      <c r="G278" s="42">
        <v>0</v>
      </c>
      <c r="H278" s="42">
        <v>0</v>
      </c>
      <c r="I278" s="42"/>
      <c r="J278" s="42">
        <v>1965</v>
      </c>
      <c r="K278" s="42">
        <v>3</v>
      </c>
      <c r="L278" s="43">
        <v>107</v>
      </c>
      <c r="M278" s="43">
        <f>IF(OR($K278="",$L278=""),"",ROUND('⚙️ SUPUESTOS'!$C$14*'⚙️ SUPUESTOS'!$C$18*SQRT($L278)*$K278,0))</f>
        <v>419</v>
      </c>
      <c r="N278" s="43"/>
      <c r="O278" s="44">
        <v>41.64893</v>
      </c>
      <c r="P278" s="44">
        <v>-4.7095000000000002</v>
      </c>
    </row>
    <row r="279" spans="1:16" ht="15" customHeight="1">
      <c r="A279" s="39">
        <f>IF($B279="","",COUNTA($B$4:B279))</f>
        <v>215</v>
      </c>
      <c r="B279" s="40" t="s">
        <v>440</v>
      </c>
      <c r="C279" s="39" t="s">
        <v>441</v>
      </c>
      <c r="D279" s="39"/>
      <c r="E279" s="41" t="s">
        <v>418</v>
      </c>
      <c r="F279" s="39" t="s">
        <v>419</v>
      </c>
      <c r="G279" s="42">
        <v>0</v>
      </c>
      <c r="H279" s="42">
        <v>0</v>
      </c>
      <c r="I279" s="42"/>
      <c r="J279" s="42">
        <v>1965</v>
      </c>
      <c r="K279" s="42">
        <v>3</v>
      </c>
      <c r="L279" s="43">
        <v>106</v>
      </c>
      <c r="M279" s="43">
        <f>IF(OR($K279="",$L279=""),"",ROUND('⚙️ SUPUESTOS'!$C$14*'⚙️ SUPUESTOS'!$C$18*SQRT($L279)*$K279,0))</f>
        <v>417</v>
      </c>
      <c r="N279" s="43"/>
      <c r="O279" s="44">
        <v>41.64902</v>
      </c>
      <c r="P279" s="44">
        <v>-4.7096600000000004</v>
      </c>
    </row>
    <row r="280" spans="1:16" ht="15" customHeight="1">
      <c r="A280" s="39">
        <f>IF($B280="","",COUNTA($B$4:B280))</f>
        <v>216</v>
      </c>
      <c r="B280" s="40" t="s">
        <v>442</v>
      </c>
      <c r="C280" s="39" t="s">
        <v>443</v>
      </c>
      <c r="D280" s="39"/>
      <c r="E280" s="41" t="s">
        <v>418</v>
      </c>
      <c r="F280" s="39" t="s">
        <v>419</v>
      </c>
      <c r="G280" s="42">
        <v>0</v>
      </c>
      <c r="H280" s="42">
        <v>0</v>
      </c>
      <c r="I280" s="42"/>
      <c r="J280" s="42">
        <v>1965</v>
      </c>
      <c r="K280" s="42">
        <v>3</v>
      </c>
      <c r="L280" s="43">
        <v>105</v>
      </c>
      <c r="M280" s="43">
        <f>IF(OR($K280="",$L280=""),"",ROUND('⚙️ SUPUESTOS'!$C$14*'⚙️ SUPUESTOS'!$C$18*SQRT($L280)*$K280,0))</f>
        <v>415</v>
      </c>
      <c r="N280" s="43"/>
      <c r="O280" s="44">
        <v>41.648679999999999</v>
      </c>
      <c r="P280" s="44">
        <v>-4.7101600000000001</v>
      </c>
    </row>
    <row r="281" spans="1:16" ht="15" customHeight="1">
      <c r="A281" s="39">
        <f>IF($B281="","",COUNTA($B$4:B281))</f>
        <v>217</v>
      </c>
      <c r="B281" s="40" t="s">
        <v>444</v>
      </c>
      <c r="C281" s="39" t="s">
        <v>445</v>
      </c>
      <c r="D281" s="39"/>
      <c r="E281" s="41" t="s">
        <v>418</v>
      </c>
      <c r="F281" s="39" t="s">
        <v>419</v>
      </c>
      <c r="G281" s="42">
        <v>0</v>
      </c>
      <c r="H281" s="42">
        <v>0</v>
      </c>
      <c r="I281" s="42"/>
      <c r="J281" s="42">
        <v>1965</v>
      </c>
      <c r="K281" s="42">
        <v>3</v>
      </c>
      <c r="L281" s="43">
        <v>99</v>
      </c>
      <c r="M281" s="43">
        <f>IF(OR($K281="",$L281=""),"",ROUND('⚙️ SUPUESTOS'!$C$14*'⚙️ SUPUESTOS'!$C$18*SQRT($L281)*$K281,0))</f>
        <v>403</v>
      </c>
      <c r="N281" s="43"/>
      <c r="O281" s="44">
        <v>41.648829999999997</v>
      </c>
      <c r="P281" s="44">
        <v>-4.7103099999999998</v>
      </c>
    </row>
    <row r="282" spans="1:16" ht="15" customHeight="1">
      <c r="A282" s="39">
        <f>IF($B282="","",COUNTA($B$4:B282))</f>
        <v>218</v>
      </c>
      <c r="B282" s="40" t="s">
        <v>446</v>
      </c>
      <c r="C282" s="39" t="s">
        <v>447</v>
      </c>
      <c r="D282" s="39"/>
      <c r="E282" s="41" t="s">
        <v>418</v>
      </c>
      <c r="F282" s="39" t="s">
        <v>419</v>
      </c>
      <c r="G282" s="42">
        <v>0</v>
      </c>
      <c r="H282" s="42">
        <v>0</v>
      </c>
      <c r="I282" s="42"/>
      <c r="J282" s="42">
        <v>1965</v>
      </c>
      <c r="K282" s="42">
        <v>3</v>
      </c>
      <c r="L282" s="43">
        <v>107</v>
      </c>
      <c r="M282" s="43">
        <f>IF(OR($K282="",$L282=""),"",ROUND('⚙️ SUPUESTOS'!$C$14*'⚙️ SUPUESTOS'!$C$18*SQRT($L282)*$K282,0))</f>
        <v>419</v>
      </c>
      <c r="N282" s="43"/>
      <c r="O282" s="44">
        <v>41.64893</v>
      </c>
      <c r="P282" s="44">
        <v>-4.7107099999999997</v>
      </c>
    </row>
    <row r="283" spans="1:16" ht="15" customHeight="1">
      <c r="A283" s="39">
        <f>IF($B283="","",COUNTA($B$4:B283))</f>
        <v>219</v>
      </c>
      <c r="B283" s="40" t="s">
        <v>448</v>
      </c>
      <c r="C283" s="39" t="s">
        <v>449</v>
      </c>
      <c r="D283" s="39"/>
      <c r="E283" s="41" t="s">
        <v>418</v>
      </c>
      <c r="F283" s="39" t="s">
        <v>419</v>
      </c>
      <c r="G283" s="42">
        <v>0</v>
      </c>
      <c r="H283" s="42">
        <v>0</v>
      </c>
      <c r="I283" s="42"/>
      <c r="J283" s="42">
        <v>1967</v>
      </c>
      <c r="K283" s="42">
        <v>5</v>
      </c>
      <c r="L283" s="43">
        <v>681</v>
      </c>
      <c r="M283" s="43">
        <f>IF(OR($K283="",$L283=""),"",ROUND('⚙️ SUPUESTOS'!$C$14*'⚙️ SUPUESTOS'!$C$18*SQRT($L283)*$K283,0))</f>
        <v>1761</v>
      </c>
      <c r="N283" s="43"/>
      <c r="O283" s="44">
        <v>41.650109999999998</v>
      </c>
      <c r="P283" s="44">
        <v>-4.7080299999999999</v>
      </c>
    </row>
    <row r="284" spans="1:16" ht="15" customHeight="1">
      <c r="A284" s="39">
        <f>IF($B284="","",COUNTA($B$4:B284))</f>
        <v>220</v>
      </c>
      <c r="B284" s="40" t="s">
        <v>450</v>
      </c>
      <c r="C284" s="39" t="s">
        <v>451</v>
      </c>
      <c r="D284" s="39"/>
      <c r="E284" s="41" t="s">
        <v>418</v>
      </c>
      <c r="F284" s="39" t="s">
        <v>419</v>
      </c>
      <c r="G284" s="42">
        <v>0</v>
      </c>
      <c r="H284" s="42">
        <v>0</v>
      </c>
      <c r="I284" s="42"/>
      <c r="J284" s="42">
        <v>1965</v>
      </c>
      <c r="K284" s="42">
        <v>3</v>
      </c>
      <c r="L284" s="43">
        <v>104</v>
      </c>
      <c r="M284" s="43">
        <f>IF(OR($K284="",$L284=""),"",ROUND('⚙️ SUPUESTOS'!$C$14*'⚙️ SUPUESTOS'!$C$18*SQRT($L284)*$K284,0))</f>
        <v>413</v>
      </c>
      <c r="N284" s="43"/>
      <c r="O284" s="44">
        <v>41.648229999999998</v>
      </c>
      <c r="P284" s="44">
        <v>-4.7092999999999998</v>
      </c>
    </row>
    <row r="285" spans="1:16" ht="15" customHeight="1">
      <c r="A285" s="39">
        <f>IF($B285="","",COUNTA($B$4:B285))</f>
        <v>221</v>
      </c>
      <c r="B285" s="40" t="s">
        <v>452</v>
      </c>
      <c r="C285" s="39" t="s">
        <v>453</v>
      </c>
      <c r="D285" s="39"/>
      <c r="E285" s="41" t="s">
        <v>418</v>
      </c>
      <c r="F285" s="39" t="s">
        <v>419</v>
      </c>
      <c r="G285" s="42">
        <v>0</v>
      </c>
      <c r="H285" s="42">
        <v>0</v>
      </c>
      <c r="I285" s="42"/>
      <c r="J285" s="42">
        <v>1965</v>
      </c>
      <c r="K285" s="42">
        <v>3</v>
      </c>
      <c r="L285" s="43">
        <v>101</v>
      </c>
      <c r="M285" s="43">
        <f>IF(OR($K285="",$L285=""),"",ROUND('⚙️ SUPUESTOS'!$C$14*'⚙️ SUPUESTOS'!$C$18*SQRT($L285)*$K285,0))</f>
        <v>407</v>
      </c>
      <c r="N285" s="43"/>
      <c r="O285" s="44">
        <v>41.647950000000002</v>
      </c>
      <c r="P285" s="44">
        <v>-4.7086899999999998</v>
      </c>
    </row>
    <row r="286" spans="1:16" ht="15" customHeight="1">
      <c r="A286" s="39">
        <f>IF($B286="","",COUNTA($B$4:B286))</f>
        <v>222</v>
      </c>
      <c r="B286" s="40" t="s">
        <v>454</v>
      </c>
      <c r="C286" s="39" t="s">
        <v>455</v>
      </c>
      <c r="D286" s="39"/>
      <c r="E286" s="41" t="s">
        <v>418</v>
      </c>
      <c r="F286" s="39" t="s">
        <v>419</v>
      </c>
      <c r="G286" s="42">
        <v>0</v>
      </c>
      <c r="H286" s="42">
        <v>0</v>
      </c>
      <c r="I286" s="42"/>
      <c r="J286" s="42">
        <v>1965</v>
      </c>
      <c r="K286" s="42">
        <v>3</v>
      </c>
      <c r="L286" s="43">
        <v>106</v>
      </c>
      <c r="M286" s="43">
        <f>IF(OR($K286="",$L286=""),"",ROUND('⚙️ SUPUESTOS'!$C$14*'⚙️ SUPUESTOS'!$C$18*SQRT($L286)*$K286,0))</f>
        <v>417</v>
      </c>
      <c r="N286" s="43"/>
      <c r="O286" s="44">
        <v>41.649410000000003</v>
      </c>
      <c r="P286" s="44">
        <v>-4.7072799999999999</v>
      </c>
    </row>
    <row r="287" spans="1:16" ht="15" customHeight="1">
      <c r="A287" s="39">
        <f>IF($B287="","",COUNTA($B$4:B287))</f>
        <v>223</v>
      </c>
      <c r="B287" s="40" t="s">
        <v>456</v>
      </c>
      <c r="C287" s="39" t="s">
        <v>457</v>
      </c>
      <c r="D287" s="39"/>
      <c r="E287" s="41" t="s">
        <v>418</v>
      </c>
      <c r="F287" s="39" t="s">
        <v>419</v>
      </c>
      <c r="G287" s="42">
        <v>0</v>
      </c>
      <c r="H287" s="42">
        <v>0</v>
      </c>
      <c r="I287" s="42"/>
      <c r="J287" s="42">
        <v>1965</v>
      </c>
      <c r="K287" s="42">
        <v>3</v>
      </c>
      <c r="L287" s="43">
        <v>104</v>
      </c>
      <c r="M287" s="43">
        <f>IF(OR($K287="",$L287=""),"",ROUND('⚙️ SUPUESTOS'!$C$14*'⚙️ SUPUESTOS'!$C$18*SQRT($L287)*$K287,0))</f>
        <v>413</v>
      </c>
      <c r="N287" s="43"/>
      <c r="O287" s="44">
        <v>41.64884</v>
      </c>
      <c r="P287" s="44">
        <v>-4.7077600000000004</v>
      </c>
    </row>
    <row r="288" spans="1:16" ht="15" customHeight="1">
      <c r="A288" s="39">
        <f>IF($B288="","",COUNTA($B$4:B288))</f>
        <v>224</v>
      </c>
      <c r="B288" s="40" t="s">
        <v>458</v>
      </c>
      <c r="C288" s="39" t="s">
        <v>459</v>
      </c>
      <c r="D288" s="39"/>
      <c r="E288" s="41" t="s">
        <v>418</v>
      </c>
      <c r="F288" s="39" t="s">
        <v>419</v>
      </c>
      <c r="G288" s="42">
        <v>0</v>
      </c>
      <c r="H288" s="42">
        <v>0</v>
      </c>
      <c r="I288" s="42"/>
      <c r="J288" s="42">
        <v>1965</v>
      </c>
      <c r="K288" s="42">
        <v>3</v>
      </c>
      <c r="L288" s="43">
        <v>118</v>
      </c>
      <c r="M288" s="43">
        <f>IF(OR($K288="",$L288=""),"",ROUND('⚙️ SUPUESTOS'!$C$14*'⚙️ SUPUESTOS'!$C$18*SQRT($L288)*$K288,0))</f>
        <v>440</v>
      </c>
      <c r="N288" s="43"/>
      <c r="O288" s="44">
        <v>41.64902</v>
      </c>
      <c r="P288" s="44">
        <v>-4.7080200000000003</v>
      </c>
    </row>
    <row r="289" spans="1:16" ht="15" customHeight="1">
      <c r="A289" s="39">
        <f>IF($B289="","",COUNTA($B$4:B289))</f>
        <v>225</v>
      </c>
      <c r="B289" s="40" t="s">
        <v>460</v>
      </c>
      <c r="C289" s="39" t="s">
        <v>461</v>
      </c>
      <c r="D289" s="39"/>
      <c r="E289" s="41" t="s">
        <v>418</v>
      </c>
      <c r="F289" s="39" t="s">
        <v>419</v>
      </c>
      <c r="G289" s="42">
        <v>0</v>
      </c>
      <c r="H289" s="42">
        <v>0</v>
      </c>
      <c r="I289" s="42"/>
      <c r="J289" s="42">
        <v>1967</v>
      </c>
      <c r="K289" s="42">
        <v>5</v>
      </c>
      <c r="L289" s="43">
        <v>169</v>
      </c>
      <c r="M289" s="43">
        <f>IF(OR($K289="",$L289=""),"",ROUND('⚙️ SUPUESTOS'!$C$14*'⚙️ SUPUESTOS'!$C$18*SQRT($L289)*$K289,0))</f>
        <v>878</v>
      </c>
      <c r="N289" s="43"/>
      <c r="O289" s="44">
        <v>41.648479999999999</v>
      </c>
      <c r="P289" s="44">
        <v>-4.7064399999999997</v>
      </c>
    </row>
    <row r="290" spans="1:16" ht="15" customHeight="1">
      <c r="A290" s="39">
        <f>IF($B290="","",COUNTA($B$4:B290))</f>
        <v>226</v>
      </c>
      <c r="B290" s="40" t="s">
        <v>462</v>
      </c>
      <c r="C290" s="39" t="s">
        <v>463</v>
      </c>
      <c r="D290" s="39"/>
      <c r="E290" s="41" t="s">
        <v>418</v>
      </c>
      <c r="F290" s="39" t="s">
        <v>419</v>
      </c>
      <c r="G290" s="42">
        <v>0</v>
      </c>
      <c r="H290" s="42">
        <v>0</v>
      </c>
      <c r="I290" s="42"/>
      <c r="J290" s="42">
        <v>1965</v>
      </c>
      <c r="K290" s="42">
        <v>3</v>
      </c>
      <c r="L290" s="43">
        <v>120</v>
      </c>
      <c r="M290" s="43">
        <f>IF(OR($K290="",$L290=""),"",ROUND('⚙️ SUPUESTOS'!$C$14*'⚙️ SUPUESTOS'!$C$18*SQRT($L290)*$K290,0))</f>
        <v>444</v>
      </c>
      <c r="N290" s="43"/>
      <c r="O290" s="44">
        <v>41.648980000000002</v>
      </c>
      <c r="P290" s="44">
        <v>-4.7109899999999998</v>
      </c>
    </row>
    <row r="291" spans="1:16" ht="15" customHeight="1">
      <c r="A291" s="39">
        <f>IF($B291="","",COUNTA($B$4:B291))</f>
        <v>227</v>
      </c>
      <c r="B291" s="40" t="s">
        <v>464</v>
      </c>
      <c r="C291" s="39" t="s">
        <v>465</v>
      </c>
      <c r="D291" s="39"/>
      <c r="E291" s="41" t="s">
        <v>418</v>
      </c>
      <c r="F291" s="39" t="s">
        <v>419</v>
      </c>
      <c r="G291" s="42">
        <v>0</v>
      </c>
      <c r="H291" s="42">
        <v>0</v>
      </c>
      <c r="I291" s="42"/>
      <c r="J291" s="42">
        <v>1965</v>
      </c>
      <c r="K291" s="42">
        <v>5</v>
      </c>
      <c r="L291" s="43">
        <v>219</v>
      </c>
      <c r="M291" s="43">
        <f>IF(OR($K291="",$L291=""),"",ROUND('⚙️ SUPUESTOS'!$C$14*'⚙️ SUPUESTOS'!$C$18*SQRT($L291)*$K291,0))</f>
        <v>999</v>
      </c>
      <c r="N291" s="43"/>
      <c r="O291" s="44">
        <v>41.650779999999997</v>
      </c>
      <c r="P291" s="44">
        <v>-4.7101800000000003</v>
      </c>
    </row>
  </sheetData>
  <autoFilter ref="A3:P3" xr:uid="{00000000-0001-0000-0100-000000000000}">
    <sortState xmlns:xlrd2="http://schemas.microsoft.com/office/spreadsheetml/2017/richdata2" ref="A4:P266">
      <sortCondition ref="A3"/>
    </sortState>
  </autoFilter>
  <mergeCells count="2">
    <mergeCell ref="A1:P1"/>
    <mergeCell ref="B2:J2"/>
  </mergeCells>
  <dataValidations count="3">
    <dataValidation type="list" allowBlank="1" errorTitle="Certificado" error="Debe ser Sí o No" sqref="E4:E291" xr:uid="{00000000-0002-0000-0100-000000000000}">
      <formula1>"Sí,No"</formula1>
      <formula2>0</formula2>
    </dataValidation>
    <dataValidation type="list" allowBlank="1" errorTitle="Cal." error="Calificación A–G" sqref="F4:F291" xr:uid="{00000000-0002-0000-0100-000001000000}">
      <formula1>"A,B,C,D,E,F,G"</formula1>
      <formula2>0</formula2>
    </dataValidation>
    <dataValidation type="list" allowBlank="1" errorTitle="Sección" error="Sección censal no válida" sqref="D4:D291" xr:uid="{00000000-0002-0000-0100-000002000000}">
      <formula1>"4718606023,4718606024,4718606025,4718606026,4718606027,4718606028"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D4:D2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3A6B"/>
  </sheetPr>
  <dimension ref="A1:AH265"/>
  <sheetViews>
    <sheetView showGridLines="0" zoomScale="59" zoomScaleNormal="5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I1" sqref="AI1"/>
    </sheetView>
  </sheetViews>
  <sheetFormatPr baseColWidth="10" defaultColWidth="8.6640625" defaultRowHeight="14.4" outlineLevelCol="1"/>
  <cols>
    <col min="1" max="1" width="5" customWidth="1"/>
    <col min="2" max="2" width="8" customWidth="1"/>
    <col min="3" max="3" width="22" customWidth="1"/>
    <col min="4" max="4" width="14.5546875" customWidth="1"/>
    <col min="5" max="5" width="11" customWidth="1"/>
    <col min="6" max="6" width="5.5546875" customWidth="1"/>
    <col min="7" max="7" width="8" customWidth="1"/>
    <col min="8" max="8" width="7.44140625" customWidth="1"/>
    <col min="9" max="9" width="11.88671875" customWidth="1"/>
    <col min="10" max="10" width="9.5546875" customWidth="1"/>
    <col min="11" max="14" width="6.5546875" hidden="1" customWidth="1" outlineLevel="1"/>
    <col min="15" max="15" width="14.109375" customWidth="1" collapsed="1"/>
    <col min="16" max="16" width="7.44140625" customWidth="1"/>
    <col min="17" max="17" width="9.5546875" customWidth="1"/>
    <col min="18" max="18" width="8" customWidth="1"/>
    <col min="19" max="19" width="19.44140625" customWidth="1"/>
    <col min="20" max="20" width="40" customWidth="1"/>
    <col min="21" max="21" width="19" customWidth="1"/>
    <col min="22" max="22" width="7" customWidth="1"/>
    <col min="23" max="23" width="6" customWidth="1"/>
    <col min="24" max="24" width="8" customWidth="1"/>
    <col min="25" max="26" width="10" customWidth="1"/>
    <col min="27" max="27" width="21" customWidth="1"/>
    <col min="28" max="28" width="13" customWidth="1"/>
    <col min="29" max="29" width="18.33203125" customWidth="1"/>
    <col min="30" max="30" width="27.44140625" customWidth="1"/>
    <col min="31" max="31" width="12" customWidth="1"/>
    <col min="32" max="32" width="15.88671875" customWidth="1"/>
    <col min="33" max="34" width="12" customWidth="1"/>
  </cols>
  <sheetData>
    <row r="1" spans="1:34" ht="57" customHeight="1">
      <c r="A1" s="127" t="s">
        <v>490</v>
      </c>
      <c r="B1" s="127"/>
      <c r="C1" s="127"/>
      <c r="D1" s="127"/>
      <c r="E1" s="127"/>
      <c r="F1" s="128" t="s">
        <v>491</v>
      </c>
      <c r="G1" s="128"/>
      <c r="H1" s="128"/>
      <c r="I1" s="128"/>
      <c r="J1" s="128"/>
      <c r="K1" s="127" t="s">
        <v>492</v>
      </c>
      <c r="L1" s="127"/>
      <c r="M1" s="127"/>
      <c r="N1" s="127"/>
      <c r="O1" s="127"/>
      <c r="P1" s="128" t="s">
        <v>493</v>
      </c>
      <c r="Q1" s="128"/>
      <c r="R1" s="128"/>
      <c r="S1" s="56" t="s">
        <v>494</v>
      </c>
      <c r="T1" s="128" t="s">
        <v>495</v>
      </c>
      <c r="U1" s="128"/>
      <c r="V1" s="126" t="s">
        <v>671</v>
      </c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7" t="s">
        <v>496</v>
      </c>
      <c r="AH1" s="127"/>
    </row>
    <row r="2" spans="1:34" ht="29.25" customHeight="1">
      <c r="A2" s="57" t="s">
        <v>32</v>
      </c>
      <c r="B2" s="57" t="s">
        <v>468</v>
      </c>
      <c r="C2" s="57" t="s">
        <v>33</v>
      </c>
      <c r="D2" s="57" t="s">
        <v>34</v>
      </c>
      <c r="E2" s="57" t="s">
        <v>35</v>
      </c>
      <c r="F2" s="57" t="s">
        <v>497</v>
      </c>
      <c r="G2" s="57" t="s">
        <v>38</v>
      </c>
      <c r="H2" s="57" t="s">
        <v>39</v>
      </c>
      <c r="I2" s="57" t="s">
        <v>675</v>
      </c>
      <c r="J2" s="57" t="s">
        <v>498</v>
      </c>
      <c r="K2" s="57" t="s">
        <v>499</v>
      </c>
      <c r="L2" s="57" t="s">
        <v>500</v>
      </c>
      <c r="M2" s="57" t="s">
        <v>501</v>
      </c>
      <c r="N2" s="57" t="s">
        <v>502</v>
      </c>
      <c r="O2" s="57" t="s">
        <v>488</v>
      </c>
      <c r="P2" s="57" t="s">
        <v>503</v>
      </c>
      <c r="Q2" s="57" t="s">
        <v>504</v>
      </c>
      <c r="R2" s="57" t="s">
        <v>505</v>
      </c>
      <c r="S2" s="57" t="s">
        <v>674</v>
      </c>
      <c r="T2" s="57" t="s">
        <v>506</v>
      </c>
      <c r="U2" s="57" t="s">
        <v>16</v>
      </c>
      <c r="V2" s="57" t="s">
        <v>507</v>
      </c>
      <c r="W2" s="57" t="s">
        <v>508</v>
      </c>
      <c r="X2" s="57" t="s">
        <v>509</v>
      </c>
      <c r="Y2" s="57" t="s">
        <v>510</v>
      </c>
      <c r="Z2" s="57" t="s">
        <v>511</v>
      </c>
      <c r="AA2" s="57" t="s">
        <v>512</v>
      </c>
      <c r="AB2" s="57" t="s">
        <v>513</v>
      </c>
      <c r="AC2" s="57" t="s">
        <v>514</v>
      </c>
      <c r="AD2" s="57" t="s">
        <v>668</v>
      </c>
      <c r="AE2" s="57" t="s">
        <v>515</v>
      </c>
      <c r="AF2" s="57" t="s">
        <v>516</v>
      </c>
      <c r="AG2" s="57" t="s">
        <v>46</v>
      </c>
      <c r="AH2" s="57" t="s">
        <v>47</v>
      </c>
    </row>
    <row r="3" spans="1:34" ht="45" customHeight="1">
      <c r="A3" s="58">
        <f>IF($C3="","",RANK(O3,$O$3:$O$265,0)+COUNTIF($O$3:O3,O3)-1)</f>
        <v>1</v>
      </c>
      <c r="B3" s="59" t="str">
        <f>IF($C3="","",IF(A3&lt;='⚙️ SUPUESTOS'!$C$29,"Fase 1",IF(A3&lt;='⚙️ SUPUESTOS'!$C$30,"Fase 2","Fase 3")))</f>
        <v>Fase 1</v>
      </c>
      <c r="C3" s="60" t="str">
        <f>IF('📇 INVENTARIO'!B4="","",'📇 INVENTARIO'!B4)</f>
        <v>C/ Salud, 19</v>
      </c>
      <c r="D3" s="59" t="str">
        <f>IF('📇 INVENTARIO'!C4="","",'📇 INVENTARIO'!C4)</f>
        <v>7625401UM5172F</v>
      </c>
      <c r="E3" s="59" t="str">
        <f>IF('📇 INVENTARIO'!D4="","",'📇 INVENTARIO'!D4)</f>
        <v>4718606026</v>
      </c>
      <c r="F3" s="59" t="str">
        <f>IF('📇 INVENTARIO'!F4="","",'📇 INVENTARIO'!F4)</f>
        <v>G</v>
      </c>
      <c r="G3" s="61">
        <f>IF('📇 INVENTARIO'!G4="","",'📇 INVENTARIO'!G4)</f>
        <v>713</v>
      </c>
      <c r="H3" s="61">
        <f>IF('📇 INVENTARIO'!H4="","",'📇 INVENTARIO'!H4)</f>
        <v>151</v>
      </c>
      <c r="I3" s="61">
        <f>IF('📇 INVENTARIO'!I4="","",'📇 INVENTARIO'!I4)</f>
        <v>368.8</v>
      </c>
      <c r="J3" s="61">
        <f>IF('📇 INVENTARIO'!J4="","",'📇 INVENTARIO'!J4)</f>
        <v>1958</v>
      </c>
      <c r="K3" s="62">
        <f>IF($C3="","",(G3-'⚙️ SUPUESTOS'!$C$20)/('⚙️ SUPUESTOS'!$C$25-'⚙️ SUPUESTOS'!$C$20))</f>
        <v>0.98106712564543885</v>
      </c>
      <c r="L3" s="62">
        <f>IF($C3="","",VLOOKUP($E3,'📊 SECCIONES'!$B$4:$S$9,16,FALSE()))</f>
        <v>1</v>
      </c>
      <c r="M3" s="62">
        <f>IF($C3="","",VLOOKUP($E3,'📊 SECCIONES'!$B$4:$S$9,17,FALSE()))</f>
        <v>1</v>
      </c>
      <c r="N3" s="62">
        <f>IF($C3="","",VLOOKUP($E3,'📊 SECCIONES'!$B$4:$S$9,18,FALSE()))</f>
        <v>0</v>
      </c>
      <c r="O3" s="63">
        <f>IF($C3="","",ROUND('⚙️ SUPUESTOS'!$C$21*K3+'⚙️ SUPUESTOS'!$C$22*L3+'⚙️ SUPUESTOS'!$C$23*M3+'⚙️ SUPUESTOS'!$C$24*N3,4))</f>
        <v>0.89959999999999996</v>
      </c>
      <c r="P3" s="64">
        <f>IF($C3="","",VLOOKUP($E3,'📊 SECCIONES'!$B$4:$S$9,7,FALSE()))</f>
        <v>66.510000000000005</v>
      </c>
      <c r="Q3" s="65">
        <f>IF($C3="","",VLOOKUP($E3,'📊 SECCIONES'!$B$4:$S$9,8,FALSE()))</f>
        <v>17450</v>
      </c>
      <c r="R3" s="64">
        <f>IF($C3="","",VLOOKUP($E3,'📊 SECCIONES'!$B$4:$S$9,10,FALSE()))</f>
        <v>10.6</v>
      </c>
      <c r="S3" s="61">
        <f>IF('📇 INVENTARIO'!K4="","",'📇 INVENTARIO'!K4)</f>
        <v>5</v>
      </c>
      <c r="T3" s="66" t="str">
        <f t="shared" ref="T3:T66" si="0">IF($C3="","","Objetivo: alcanzar calificación C. Actual: Cal."&amp;F3&amp;". "&amp;IF(OR(F3="G",F3="F"),"SATE integral + cubierta + carpinterías triple + aerotermia + instalación fotovoltaica",IF(F3="E","SATE fachada + carpinterías doble + instalación fotovoltaica",IF(F3="D","Mantenimiento de envolvente + instalación fotovoltaica en cubierta","Optimización energética + instalación fotovoltaica"))))</f>
        <v>Objetivo: alcanzar calificación C. Actual: Cal.G. SATE integral + cubierta + carpinterías triple + aerotermia + instalación fotovoltaica</v>
      </c>
      <c r="U3" s="59" t="str">
        <f t="shared" ref="U3:U66" si="1">IF($C3="","",IF(S3=0,"s/d",IF(S3&gt;=4,"Valorar ascensor (verificar)","—")))</f>
        <v>Valorar ascensor (verificar)</v>
      </c>
      <c r="V3" s="67">
        <f>IF('📇 INVENTARIO'!L4="","",'📇 INVENTARIO'!L4)</f>
        <v>330.5</v>
      </c>
      <c r="W3" s="64">
        <f>IF($C3="","",V3*'⚙️ SUPUESTOS'!$C$8*'⚙️ SUPUESTOS'!$C$9)</f>
        <v>69.405000000000001</v>
      </c>
      <c r="X3" s="67">
        <f>IF('📇 INVENTARIO'!N4="","",'📇 INVENTARIO'!N4)</f>
        <v>1373</v>
      </c>
      <c r="Y3" s="67">
        <f>IF($C3="","",W3*X3*'⚙️ SUPUESTOS'!$C$7)</f>
        <v>85763.758500000011</v>
      </c>
      <c r="Z3" s="65">
        <f>IF($C3="","",W3*'⚙️ SUPUESTOS'!$C$10)</f>
        <v>92655.675000000003</v>
      </c>
      <c r="AA3" s="65">
        <f>IF($C3="","",Y3*('⚙️ SUPUESTOS'!$C$12*'⚙️ SUPUESTOS'!$C$11+(1-'⚙️ SUPUESTOS'!$C$12)*'⚙️ SUPUESTOS'!$C$13))</f>
        <v>5849.0883297000019</v>
      </c>
      <c r="AB3" s="65">
        <f>IF($C3="","",IF(Y3&gt;0,ROUND(Y3*'⚙️ SUPUESTOS'!$C$12*'⚙️ SUPUESTOS'!$C$11,0),""))</f>
        <v>2144</v>
      </c>
      <c r="AC3" s="65">
        <f>IF($C3="","",IF(Y3&gt;0,ROUND(Y3*(1-'⚙️ SUPUESTOS'!$C$12)*'⚙️ SUPUESTOS'!$C$13,0),""))</f>
        <v>3705</v>
      </c>
      <c r="AD3" s="65">
        <f t="shared" ref="AD3:AD66" si="2">IF($C3="","",IF(AND(ISNUMBER(AA3),ISNUMBER(AE3),AA3&gt;0,AE3&gt;0),ROUND(AA3*MAX(0,25-AE3),0),""))</f>
        <v>53572</v>
      </c>
      <c r="AE3" s="64">
        <f t="shared" ref="AE3:AE66" si="3">IF($C3="","",IF(AA3&gt;0,Z3/AA3,""))</f>
        <v>15.841045608684164</v>
      </c>
      <c r="AF3" s="59" t="str">
        <f>IF($C3="","",IF(AE3="","—",IF(AE3&lt;='⚙️ SUPUESTOS'!$C$32,"✔ Muy recomendable",IF(AE3&lt;='⚙️ SUPUESTOS'!$C$33,"✔ Recomendable","Valorar"))))</f>
        <v>✔ Recomendable</v>
      </c>
      <c r="AG3" s="68">
        <f>IF('📇 INVENTARIO'!O4="","",'📇 INVENTARIO'!O4)</f>
        <v>41.649797</v>
      </c>
      <c r="AH3" s="68">
        <f>IF('📇 INVENTARIO'!P4="","",'📇 INVENTARIO'!P4)</f>
        <v>-4.7108819999999998</v>
      </c>
    </row>
    <row r="4" spans="1:34" ht="45" customHeight="1">
      <c r="A4" s="69">
        <f>IF($C4="","",RANK(O4,$O$3:$O$265,0)+COUNTIF($O$3:O4,O4)-1)</f>
        <v>2</v>
      </c>
      <c r="B4" s="70" t="str">
        <f>IF($C4="","",IF(A4&lt;='⚙️ SUPUESTOS'!$C$29,"Fase 1",IF(A4&lt;='⚙️ SUPUESTOS'!$C$30,"Fase 2","Fase 3")))</f>
        <v>Fase 1</v>
      </c>
      <c r="C4" s="71" t="str">
        <f>IF('📇 INVENTARIO'!B5="","",'📇 INVENTARIO'!B5)</f>
        <v>C/ Pavo Real, 21</v>
      </c>
      <c r="D4" s="70" t="str">
        <f>IF('📇 INVENTARIO'!C5="","",'📇 INVENTARIO'!C5)</f>
        <v>7625404UM5172F</v>
      </c>
      <c r="E4" s="70" t="str">
        <f>IF('📇 INVENTARIO'!D5="","",'📇 INVENTARIO'!D5)</f>
        <v>4718606026</v>
      </c>
      <c r="F4" s="70" t="str">
        <f>IF('📇 INVENTARIO'!F5="","",'📇 INVENTARIO'!F5)</f>
        <v>G</v>
      </c>
      <c r="G4" s="72">
        <f>IF('📇 INVENTARIO'!G5="","",'📇 INVENTARIO'!G5)</f>
        <v>630</v>
      </c>
      <c r="H4" s="72">
        <f>IF('📇 INVENTARIO'!H5="","",'📇 INVENTARIO'!H5)</f>
        <v>107</v>
      </c>
      <c r="I4" s="72">
        <f>IF('📇 INVENTARIO'!I5="","",'📇 INVENTARIO'!I5)</f>
        <v>178.9</v>
      </c>
      <c r="J4" s="72">
        <f>IF('📇 INVENTARIO'!J5="","",'📇 INVENTARIO'!J5)</f>
        <v>1965</v>
      </c>
      <c r="K4" s="73">
        <f>IF($C4="","",(G4-'⚙️ SUPUESTOS'!$C$20)/('⚙️ SUPUESTOS'!$C$25-'⚙️ SUPUESTOS'!$C$20))</f>
        <v>0.83820998278829606</v>
      </c>
      <c r="L4" s="73">
        <f>IF($C4="","",VLOOKUP($E4,'📊 SECCIONES'!$B$4:$S$9,16,FALSE()))</f>
        <v>1</v>
      </c>
      <c r="M4" s="73">
        <f>IF($C4="","",VLOOKUP($E4,'📊 SECCIONES'!$B$4:$S$9,17,FALSE()))</f>
        <v>1</v>
      </c>
      <c r="N4" s="73">
        <f>IF($C4="","",VLOOKUP($E4,'📊 SECCIONES'!$B$4:$S$9,18,FALSE()))</f>
        <v>0</v>
      </c>
      <c r="O4" s="74">
        <f>IF($C4="","",ROUND('⚙️ SUPUESTOS'!$C$21*K4+'⚙️ SUPUESTOS'!$C$22*L4+'⚙️ SUPUESTOS'!$C$23*M4+'⚙️ SUPUESTOS'!$C$24*N4,4))</f>
        <v>0.82099999999999995</v>
      </c>
      <c r="P4" s="75">
        <f>IF($C4="","",VLOOKUP($E4,'📊 SECCIONES'!$B$4:$S$9,7,FALSE()))</f>
        <v>66.510000000000005</v>
      </c>
      <c r="Q4" s="76">
        <f>IF($C4="","",VLOOKUP($E4,'📊 SECCIONES'!$B$4:$S$9,8,FALSE()))</f>
        <v>17450</v>
      </c>
      <c r="R4" s="75">
        <f>IF($C4="","",VLOOKUP($E4,'📊 SECCIONES'!$B$4:$S$9,10,FALSE()))</f>
        <v>10.6</v>
      </c>
      <c r="S4" s="72">
        <f>IF('📇 INVENTARIO'!K5="","",'📇 INVENTARIO'!K5)</f>
        <v>3</v>
      </c>
      <c r="T4" s="77" t="str">
        <f t="shared" si="0"/>
        <v>Objetivo: alcanzar calificación C. Actual: Cal.G. SATE integral + cubierta + carpinterías triple + aerotermia + instalación fotovoltaica</v>
      </c>
      <c r="U4" s="70" t="str">
        <f t="shared" si="1"/>
        <v>—</v>
      </c>
      <c r="V4" s="78">
        <f>IF('📇 INVENTARIO'!L5="","",'📇 INVENTARIO'!L5)</f>
        <v>96.2</v>
      </c>
      <c r="W4" s="75">
        <f>IF($C4="","",V4*'⚙️ SUPUESTOS'!$C$8*'⚙️ SUPUESTOS'!$C$9)</f>
        <v>20.201999999999998</v>
      </c>
      <c r="X4" s="78">
        <f>IF('📇 INVENTARIO'!N5="","",'📇 INVENTARIO'!N5)</f>
        <v>1477</v>
      </c>
      <c r="Y4" s="78">
        <f>IF($C4="","",W4*X4*'⚙️ SUPUESTOS'!$C$7)</f>
        <v>26854.518599999996</v>
      </c>
      <c r="Z4" s="76">
        <f>IF($C4="","",W4*'⚙️ SUPUESTOS'!$C$10)</f>
        <v>26969.67</v>
      </c>
      <c r="AA4" s="76">
        <f>IF($C4="","",Y4*('⚙️ SUPUESTOS'!$C$12*'⚙️ SUPUESTOS'!$C$11+(1-'⚙️ SUPUESTOS'!$C$12)*'⚙️ SUPUESTOS'!$C$13))</f>
        <v>1831.4781685200001</v>
      </c>
      <c r="AB4" s="76">
        <f>IF($C4="","",IF(Y4&gt;0,ROUND(Y4*'⚙️ SUPUESTOS'!$C$12*'⚙️ SUPUESTOS'!$C$11,0),""))</f>
        <v>671</v>
      </c>
      <c r="AC4" s="76">
        <f>IF($C4="","",IF(Y4&gt;0,ROUND(Y4*(1-'⚙️ SUPUESTOS'!$C$12)*'⚙️ SUPUESTOS'!$C$13,0),""))</f>
        <v>1160</v>
      </c>
      <c r="AD4" s="76">
        <f t="shared" si="2"/>
        <v>18817</v>
      </c>
      <c r="AE4" s="75">
        <f t="shared" si="3"/>
        <v>14.725630074965038</v>
      </c>
      <c r="AF4" s="70" t="str">
        <f>IF($C4="","",IF(AE4="","—",IF(AE4&lt;='⚙️ SUPUESTOS'!$C$32,"✔ Muy recomendable",IF(AE4&lt;='⚙️ SUPUESTOS'!$C$33,"✔ Recomendable","Valorar"))))</f>
        <v>✔ Muy recomendable</v>
      </c>
      <c r="AG4" s="79">
        <f>IF('📇 INVENTARIO'!O5="","",'📇 INVENTARIO'!O5)</f>
        <v>41.649430000000002</v>
      </c>
      <c r="AH4" s="79">
        <f>IF('📇 INVENTARIO'!P5="","",'📇 INVENTARIO'!P5)</f>
        <v>-4.7105600000000001</v>
      </c>
    </row>
    <row r="5" spans="1:34" ht="45" customHeight="1">
      <c r="A5" s="58">
        <f>IF($C5="","",RANK(O5,$O$3:$O$265,0)+COUNTIF($O$3:O5,O5)-1)</f>
        <v>3</v>
      </c>
      <c r="B5" s="59" t="str">
        <f>IF($C5="","",IF(A5&lt;='⚙️ SUPUESTOS'!$C$29,"Fase 1",IF(A5&lt;='⚙️ SUPUESTOS'!$C$30,"Fase 2","Fase 3")))</f>
        <v>Fase 1</v>
      </c>
      <c r="C5" s="60" t="str">
        <f>IF('📇 INVENTARIO'!B6="","",'📇 INVENTARIO'!B6)</f>
        <v>C/ Salud, 17</v>
      </c>
      <c r="D5" s="59" t="str">
        <f>IF('📇 INVENTARIO'!C6="","",'📇 INVENTARIO'!C6)</f>
        <v>7625401UM5172F</v>
      </c>
      <c r="E5" s="59" t="str">
        <f>IF('📇 INVENTARIO'!D6="","",'📇 INVENTARIO'!D6)</f>
        <v>4718606026</v>
      </c>
      <c r="F5" s="59" t="str">
        <f>IF('📇 INVENTARIO'!F6="","",'📇 INVENTARIO'!F6)</f>
        <v>G</v>
      </c>
      <c r="G5" s="61">
        <f>IF('📇 INVENTARIO'!G6="","",'📇 INVENTARIO'!G6)</f>
        <v>528</v>
      </c>
      <c r="H5" s="61">
        <f>IF('📇 INVENTARIO'!H6="","",'📇 INVENTARIO'!H6)</f>
        <v>90</v>
      </c>
      <c r="I5" s="61">
        <f>IF('📇 INVENTARIO'!I6="","",'📇 INVENTARIO'!I6)</f>
        <v>211</v>
      </c>
      <c r="J5" s="61">
        <f>IF('📇 INVENTARIO'!J6="","",'📇 INVENTARIO'!J6)</f>
        <v>1958</v>
      </c>
      <c r="K5" s="62">
        <f>IF($C5="","",(G5-'⚙️ SUPUESTOS'!$C$20)/('⚙️ SUPUESTOS'!$C$25-'⚙️ SUPUESTOS'!$C$20))</f>
        <v>0.66265060240963858</v>
      </c>
      <c r="L5" s="62">
        <f>IF($C5="","",VLOOKUP($E5,'📊 SECCIONES'!$B$4:$S$9,16,FALSE()))</f>
        <v>1</v>
      </c>
      <c r="M5" s="62">
        <f>IF($C5="","",VLOOKUP($E5,'📊 SECCIONES'!$B$4:$S$9,17,FALSE()))</f>
        <v>1</v>
      </c>
      <c r="N5" s="62">
        <f>IF($C5="","",VLOOKUP($E5,'📊 SECCIONES'!$B$4:$S$9,18,FALSE()))</f>
        <v>0</v>
      </c>
      <c r="O5" s="63">
        <f>IF($C5="","",ROUND('⚙️ SUPUESTOS'!$C$21*K5+'⚙️ SUPUESTOS'!$C$22*L5+'⚙️ SUPUESTOS'!$C$23*M5+'⚙️ SUPUESTOS'!$C$24*N5,4))</f>
        <v>0.72450000000000003</v>
      </c>
      <c r="P5" s="64">
        <f>IF($C5="","",VLOOKUP($E5,'📊 SECCIONES'!$B$4:$S$9,7,FALSE()))</f>
        <v>66.510000000000005</v>
      </c>
      <c r="Q5" s="65">
        <f>IF($C5="","",VLOOKUP($E5,'📊 SECCIONES'!$B$4:$S$9,8,FALSE()))</f>
        <v>17450</v>
      </c>
      <c r="R5" s="64">
        <f>IF($C5="","",VLOOKUP($E5,'📊 SECCIONES'!$B$4:$S$9,10,FALSE()))</f>
        <v>10.6</v>
      </c>
      <c r="S5" s="61">
        <f>IF('📇 INVENTARIO'!K6="","",'📇 INVENTARIO'!K6)</f>
        <v>5</v>
      </c>
      <c r="T5" s="66" t="str">
        <f t="shared" si="0"/>
        <v>Objetivo: alcanzar calificación C. Actual: Cal.G. SATE integral + cubierta + carpinterías triple + aerotermia + instalación fotovoltaica</v>
      </c>
      <c r="U5" s="59" t="str">
        <f t="shared" si="1"/>
        <v>Valorar ascensor (verificar)</v>
      </c>
      <c r="V5" s="67">
        <f>IF('📇 INVENTARIO'!L6="","",'📇 INVENTARIO'!L6)</f>
        <v>330.5</v>
      </c>
      <c r="W5" s="64">
        <f>IF($C5="","",V5*'⚙️ SUPUESTOS'!$C$8*'⚙️ SUPUESTOS'!$C$9)</f>
        <v>69.405000000000001</v>
      </c>
      <c r="X5" s="67">
        <f>IF('📇 INVENTARIO'!N6="","",'📇 INVENTARIO'!N6)</f>
        <v>1373</v>
      </c>
      <c r="Y5" s="67">
        <f>IF($C5="","",W5*X5*'⚙️ SUPUESTOS'!$C$7)</f>
        <v>85763.758500000011</v>
      </c>
      <c r="Z5" s="65">
        <f>IF($C5="","",W5*'⚙️ SUPUESTOS'!$C$10)</f>
        <v>92655.675000000003</v>
      </c>
      <c r="AA5" s="65">
        <f>IF($C5="","",Y5*('⚙️ SUPUESTOS'!$C$12*'⚙️ SUPUESTOS'!$C$11+(1-'⚙️ SUPUESTOS'!$C$12)*'⚙️ SUPUESTOS'!$C$13))</f>
        <v>5849.0883297000019</v>
      </c>
      <c r="AB5" s="65">
        <f>IF($C5="","",IF(Y5&gt;0,ROUND(Y5*'⚙️ SUPUESTOS'!$C$12*'⚙️ SUPUESTOS'!$C$11,0),""))</f>
        <v>2144</v>
      </c>
      <c r="AC5" s="65">
        <f>IF($C5="","",IF(Y5&gt;0,ROUND(Y5*(1-'⚙️ SUPUESTOS'!$C$12)*'⚙️ SUPUESTOS'!$C$13,0),""))</f>
        <v>3705</v>
      </c>
      <c r="AD5" s="65">
        <f t="shared" si="2"/>
        <v>53572</v>
      </c>
      <c r="AE5" s="64">
        <f t="shared" si="3"/>
        <v>15.841045608684164</v>
      </c>
      <c r="AF5" s="59" t="str">
        <f>IF($C5="","",IF(AE5="","—",IF(AE5&lt;='⚙️ SUPUESTOS'!$C$32,"✔ Muy recomendable",IF(AE5&lt;='⚙️ SUPUESTOS'!$C$33,"✔ Recomendable","Valorar"))))</f>
        <v>✔ Recomendable</v>
      </c>
      <c r="AG5" s="68">
        <f>IF('📇 INVENTARIO'!O6="","",'📇 INVENTARIO'!O6)</f>
        <v>41.649496999999997</v>
      </c>
      <c r="AH5" s="68">
        <f>IF('📇 INVENTARIO'!P6="","",'📇 INVENTARIO'!P6)</f>
        <v>-4.7110890000000003</v>
      </c>
    </row>
    <row r="6" spans="1:34" ht="45" customHeight="1">
      <c r="A6" s="69">
        <f>IF($C6="","",RANK(O6,$O$3:$O$265,0)+COUNTIF($O$3:O6,O6)-1)</f>
        <v>4</v>
      </c>
      <c r="B6" s="70" t="str">
        <f>IF($C6="","",IF(A6&lt;='⚙️ SUPUESTOS'!$C$29,"Fase 1",IF(A6&lt;='⚙️ SUPUESTOS'!$C$30,"Fase 2","Fase 3")))</f>
        <v>Fase 1</v>
      </c>
      <c r="C6" s="71" t="str">
        <f>IF('📇 INVENTARIO'!B7="","",'📇 INVENTARIO'!B7)</f>
        <v>C/ Halcón, 2</v>
      </c>
      <c r="D6" s="70" t="str">
        <f>IF('📇 INVENTARIO'!C7="","",'📇 INVENTARIO'!C7)</f>
        <v>7925705UM5172F</v>
      </c>
      <c r="E6" s="70" t="str">
        <f>IF('📇 INVENTARIO'!D7="","",'📇 INVENTARIO'!D7)</f>
        <v>4718606023</v>
      </c>
      <c r="F6" s="70" t="str">
        <f>IF('📇 INVENTARIO'!F7="","",'📇 INVENTARIO'!F7)</f>
        <v>G</v>
      </c>
      <c r="G6" s="72">
        <f>IF('📇 INVENTARIO'!G7="","",'📇 INVENTARIO'!G7)</f>
        <v>646</v>
      </c>
      <c r="H6" s="72">
        <f>IF('📇 INVENTARIO'!H7="","",'📇 INVENTARIO'!H7)</f>
        <v>110</v>
      </c>
      <c r="I6" s="72">
        <f>IF('📇 INVENTARIO'!I7="","",'📇 INVENTARIO'!I7)</f>
        <v>218.2</v>
      </c>
      <c r="J6" s="72">
        <f>IF('📇 INVENTARIO'!J7="","",'📇 INVENTARIO'!J7)</f>
        <v>1965</v>
      </c>
      <c r="K6" s="73">
        <f>IF($C6="","",(G6-'⚙️ SUPUESTOS'!$C$20)/('⚙️ SUPUESTOS'!$C$25-'⚙️ SUPUESTOS'!$C$20))</f>
        <v>0.86574870912220314</v>
      </c>
      <c r="L6" s="73">
        <f>IF($C6="","",VLOOKUP($E6,'📊 SECCIONES'!$B$4:$S$9,16,FALSE()))</f>
        <v>0.54128061278831963</v>
      </c>
      <c r="M6" s="73">
        <f>IF($C6="","",VLOOKUP($E6,'📊 SECCIONES'!$B$4:$S$9,17,FALSE()))</f>
        <v>0.59585492227979275</v>
      </c>
      <c r="N6" s="73">
        <f>IF($C6="","",VLOOKUP($E6,'📊 SECCIONES'!$B$4:$S$9,18,FALSE()))</f>
        <v>0.28636363636363632</v>
      </c>
      <c r="O6" s="74">
        <f>IF($C6="","",ROUND('⚙️ SUPUESTOS'!$C$21*K6+'⚙️ SUPUESTOS'!$C$22*L6+'⚙️ SUPUESTOS'!$C$23*M6+'⚙️ SUPUESTOS'!$C$24*N6,4))</f>
        <v>0.70440000000000003</v>
      </c>
      <c r="P6" s="75">
        <f>IF($C6="","",VLOOKUP($E6,'📊 SECCIONES'!$B$4:$S$9,7,FALSE()))</f>
        <v>39.409999999999997</v>
      </c>
      <c r="Q6" s="76">
        <f>IF($C6="","",VLOOKUP($E6,'📊 SECCIONES'!$B$4:$S$9,8,FALSE()))</f>
        <v>22486</v>
      </c>
      <c r="R6" s="75">
        <f>IF($C6="","",VLOOKUP($E6,'📊 SECCIONES'!$B$4:$S$9,10,FALSE()))</f>
        <v>16.899999999999999</v>
      </c>
      <c r="S6" s="72">
        <f>IF('📇 INVENTARIO'!K7="","",'📇 INVENTARIO'!K7)</f>
        <v>3</v>
      </c>
      <c r="T6" s="77" t="str">
        <f t="shared" si="0"/>
        <v>Objetivo: alcanzar calificación C. Actual: Cal.G. SATE integral + cubierta + carpinterías triple + aerotermia + instalación fotovoltaica</v>
      </c>
      <c r="U6" s="70" t="str">
        <f t="shared" si="1"/>
        <v>—</v>
      </c>
      <c r="V6" s="78">
        <f>IF('📇 INVENTARIO'!L7="","",'📇 INVENTARIO'!L7)</f>
        <v>102.1</v>
      </c>
      <c r="W6" s="75">
        <f>IF($C6="","",V6*'⚙️ SUPUESTOS'!$C$8*'⚙️ SUPUESTOS'!$C$9)</f>
        <v>21.440999999999999</v>
      </c>
      <c r="X6" s="78">
        <f>IF('📇 INVENTARIO'!N7="","",'📇 INVENTARIO'!N7)</f>
        <v>1380</v>
      </c>
      <c r="Y6" s="78">
        <f>IF($C6="","",W6*X6*'⚙️ SUPUESTOS'!$C$7)</f>
        <v>26629.721999999998</v>
      </c>
      <c r="Z6" s="76">
        <f>IF($C6="","",W6*'⚙️ SUPUESTOS'!$C$10)</f>
        <v>28623.734999999997</v>
      </c>
      <c r="AA6" s="76">
        <f>IF($C6="","",Y6*('⚙️ SUPUESTOS'!$C$12*'⚙️ SUPUESTOS'!$C$11+(1-'⚙️ SUPUESTOS'!$C$12)*'⚙️ SUPUESTOS'!$C$13))</f>
        <v>1816.1470404000002</v>
      </c>
      <c r="AB6" s="76">
        <f>IF($C6="","",IF(Y6&gt;0,ROUND(Y6*'⚙️ SUPUESTOS'!$C$12*'⚙️ SUPUESTOS'!$C$11,0),""))</f>
        <v>666</v>
      </c>
      <c r="AC6" s="76">
        <f>IF($C6="","",IF(Y6&gt;0,ROUND(Y6*(1-'⚙️ SUPUESTOS'!$C$12)*'⚙️ SUPUESTOS'!$C$13,0),""))</f>
        <v>1150</v>
      </c>
      <c r="AD6" s="76">
        <f t="shared" si="2"/>
        <v>16780</v>
      </c>
      <c r="AE6" s="75">
        <f t="shared" si="3"/>
        <v>15.760692478785042</v>
      </c>
      <c r="AF6" s="70" t="str">
        <f>IF($C6="","",IF(AE6="","—",IF(AE6&lt;='⚙️ SUPUESTOS'!$C$32,"✔ Muy recomendable",IF(AE6&lt;='⚙️ SUPUESTOS'!$C$33,"✔ Recomendable","Valorar"))))</f>
        <v>✔ Recomendable</v>
      </c>
      <c r="AG6" s="79">
        <f>IF('📇 INVENTARIO'!O7="","",'📇 INVENTARIO'!O7)</f>
        <v>41.649859999999997</v>
      </c>
      <c r="AH6" s="79">
        <f>IF('📇 INVENTARIO'!P7="","",'📇 INVENTARIO'!P7)</f>
        <v>-4.7084200000000003</v>
      </c>
    </row>
    <row r="7" spans="1:34" ht="45" customHeight="1">
      <c r="A7" s="58">
        <f>IF($C7="","",RANK(O7,$O$3:$O$265,0)+COUNTIF($O$3:O7,O7)-1)</f>
        <v>5</v>
      </c>
      <c r="B7" s="59" t="str">
        <f>IF($C7="","",IF(A7&lt;='⚙️ SUPUESTOS'!$C$29,"Fase 1",IF(A7&lt;='⚙️ SUPUESTOS'!$C$30,"Fase 2","Fase 3")))</f>
        <v>Fase 1</v>
      </c>
      <c r="C7" s="60" t="str">
        <f>IF('📇 INVENTARIO'!B8="","",'📇 INVENTARIO'!B8)</f>
        <v>C/ Rincón del Esgueva, 13</v>
      </c>
      <c r="D7" s="59" t="str">
        <f>IF('📇 INVENTARIO'!C8="","",'📇 INVENTARIO'!C8)</f>
        <v>7726409UM5172F</v>
      </c>
      <c r="E7" s="59" t="str">
        <f>IF('📇 INVENTARIO'!D8="","",'📇 INVENTARIO'!D8)</f>
        <v>4718606023</v>
      </c>
      <c r="F7" s="59" t="str">
        <f>IF('📇 INVENTARIO'!F8="","",'📇 INVENTARIO'!F8)</f>
        <v>G</v>
      </c>
      <c r="G7" s="61">
        <f>IF('📇 INVENTARIO'!G8="","",'📇 INVENTARIO'!G8)</f>
        <v>634</v>
      </c>
      <c r="H7" s="61">
        <f>IF('📇 INVENTARIO'!H8="","",'📇 INVENTARIO'!H8)</f>
        <v>134</v>
      </c>
      <c r="I7" s="61">
        <f>IF('📇 INVENTARIO'!I8="","",'📇 INVENTARIO'!I8)</f>
        <v>334.2</v>
      </c>
      <c r="J7" s="61">
        <f>IF('📇 INVENTARIO'!J8="","",'📇 INVENTARIO'!J8)</f>
        <v>1936</v>
      </c>
      <c r="K7" s="62">
        <f>IF($C7="","",(G7-'⚙️ SUPUESTOS'!$C$20)/('⚙️ SUPUESTOS'!$C$25-'⚙️ SUPUESTOS'!$C$20))</f>
        <v>0.84509466437177283</v>
      </c>
      <c r="L7" s="62">
        <f>IF($C7="","",VLOOKUP($E7,'📊 SECCIONES'!$B$4:$S$9,16,FALSE()))</f>
        <v>0.54128061278831963</v>
      </c>
      <c r="M7" s="62">
        <f>IF($C7="","",VLOOKUP($E7,'📊 SECCIONES'!$B$4:$S$9,17,FALSE()))</f>
        <v>0.59585492227979275</v>
      </c>
      <c r="N7" s="62">
        <f>IF($C7="","",VLOOKUP($E7,'📊 SECCIONES'!$B$4:$S$9,18,FALSE()))</f>
        <v>0.28636363636363632</v>
      </c>
      <c r="O7" s="63">
        <f>IF($C7="","",ROUND('⚙️ SUPUESTOS'!$C$21*K7+'⚙️ SUPUESTOS'!$C$22*L7+'⚙️ SUPUESTOS'!$C$23*M7+'⚙️ SUPUESTOS'!$C$24*N7,4))</f>
        <v>0.69310000000000005</v>
      </c>
      <c r="P7" s="64">
        <f>IF($C7="","",VLOOKUP($E7,'📊 SECCIONES'!$B$4:$S$9,7,FALSE()))</f>
        <v>39.409999999999997</v>
      </c>
      <c r="Q7" s="65">
        <f>IF($C7="","",VLOOKUP($E7,'📊 SECCIONES'!$B$4:$S$9,8,FALSE()))</f>
        <v>22486</v>
      </c>
      <c r="R7" s="64">
        <f>IF($C7="","",VLOOKUP($E7,'📊 SECCIONES'!$B$4:$S$9,10,FALSE()))</f>
        <v>16.899999999999999</v>
      </c>
      <c r="S7" s="61">
        <f>IF('📇 INVENTARIO'!K8="","",'📇 INVENTARIO'!K8)</f>
        <v>1</v>
      </c>
      <c r="T7" s="66" t="str">
        <f t="shared" si="0"/>
        <v>Objetivo: alcanzar calificación C. Actual: Cal.G. SATE integral + cubierta + carpinterías triple + aerotermia + instalación fotovoltaica</v>
      </c>
      <c r="U7" s="59" t="str">
        <f t="shared" si="1"/>
        <v>—</v>
      </c>
      <c r="V7" s="67">
        <f>IF('📇 INVENTARIO'!L8="","",'📇 INVENTARIO'!L8)</f>
        <v>53.6</v>
      </c>
      <c r="W7" s="64">
        <f>IF($C7="","",V7*'⚙️ SUPUESTOS'!$C$8*'⚙️ SUPUESTOS'!$C$9)</f>
        <v>11.256</v>
      </c>
      <c r="X7" s="67">
        <f>IF('📇 INVENTARIO'!N8="","",'📇 INVENTARIO'!N8)</f>
        <v>1515</v>
      </c>
      <c r="Y7" s="67">
        <f>IF($C7="","",W7*X7*'⚙️ SUPUESTOS'!$C$7)</f>
        <v>15347.556</v>
      </c>
      <c r="Z7" s="65">
        <f>IF($C7="","",W7*'⚙️ SUPUESTOS'!$C$10)</f>
        <v>15026.76</v>
      </c>
      <c r="AA7" s="65">
        <f>IF($C7="","",Y7*('⚙️ SUPUESTOS'!$C$12*'⚙️ SUPUESTOS'!$C$11+(1-'⚙️ SUPUESTOS'!$C$12)*'⚙️ SUPUESTOS'!$C$13))</f>
        <v>1046.7033192000001</v>
      </c>
      <c r="AB7" s="65">
        <f>IF($C7="","",IF(Y7&gt;0,ROUND(Y7*'⚙️ SUPUESTOS'!$C$12*'⚙️ SUPUESTOS'!$C$11,0),""))</f>
        <v>384</v>
      </c>
      <c r="AC7" s="65">
        <f>IF($C7="","",IF(Y7&gt;0,ROUND(Y7*(1-'⚙️ SUPUESTOS'!$C$12)*'⚙️ SUPUESTOS'!$C$13,0),""))</f>
        <v>663</v>
      </c>
      <c r="AD7" s="65">
        <f t="shared" si="2"/>
        <v>11141</v>
      </c>
      <c r="AE7" s="64">
        <f t="shared" si="3"/>
        <v>14.356274337111129</v>
      </c>
      <c r="AF7" s="59" t="str">
        <f>IF($C7="","",IF(AE7="","—",IF(AE7&lt;='⚙️ SUPUESTOS'!$C$32,"✔ Muy recomendable",IF(AE7&lt;='⚙️ SUPUESTOS'!$C$33,"✔ Recomendable","Valorar"))))</f>
        <v>✔ Muy recomendable</v>
      </c>
      <c r="AG7" s="68">
        <f>IF('📇 INVENTARIO'!O8="","",'📇 INVENTARIO'!O8)</f>
        <v>41.650120000000001</v>
      </c>
      <c r="AH7" s="68">
        <f>IF('📇 INVENTARIO'!P8="","",'📇 INVENTARIO'!P8)</f>
        <v>-4.7096299999999998</v>
      </c>
    </row>
    <row r="8" spans="1:34" ht="45" customHeight="1">
      <c r="A8" s="69">
        <f>IF($C8="","",RANK(O8,$O$3:$O$265,0)+COUNTIF($O$3:O8,O8)-1)</f>
        <v>6</v>
      </c>
      <c r="B8" s="70" t="str">
        <f>IF($C8="","",IF(A8&lt;='⚙️ SUPUESTOS'!$C$29,"Fase 1",IF(A8&lt;='⚙️ SUPUESTOS'!$C$30,"Fase 2","Fase 3")))</f>
        <v>Fase 1</v>
      </c>
      <c r="C8" s="71" t="str">
        <f>IF('📇 INVENTARIO'!B9="","",'📇 INVENTARIO'!B9)</f>
        <v>C/ Calandria, 4</v>
      </c>
      <c r="D8" s="70" t="str">
        <f>IF('📇 INVENTARIO'!C9="","",'📇 INVENTARIO'!C9)</f>
        <v>7925710UM5172F</v>
      </c>
      <c r="E8" s="70" t="str">
        <f>IF('📇 INVENTARIO'!D9="","",'📇 INVENTARIO'!D9)</f>
        <v>4718606023</v>
      </c>
      <c r="F8" s="70" t="str">
        <f>IF('📇 INVENTARIO'!F9="","",'📇 INVENTARIO'!F9)</f>
        <v>G</v>
      </c>
      <c r="G8" s="72">
        <f>IF('📇 INVENTARIO'!G9="","",'📇 INVENTARIO'!G9)</f>
        <v>632</v>
      </c>
      <c r="H8" s="72">
        <f>IF('📇 INVENTARIO'!H9="","",'📇 INVENTARIO'!H9)</f>
        <v>134</v>
      </c>
      <c r="I8" s="72">
        <f>IF('📇 INVENTARIO'!I9="","",'📇 INVENTARIO'!I9)</f>
        <v>251.9</v>
      </c>
      <c r="J8" s="72">
        <f>IF('📇 INVENTARIO'!J9="","",'📇 INVENTARIO'!J9)</f>
        <v>1965</v>
      </c>
      <c r="K8" s="73">
        <f>IF($C8="","",(G8-'⚙️ SUPUESTOS'!$C$20)/('⚙️ SUPUESTOS'!$C$25-'⚙️ SUPUESTOS'!$C$20))</f>
        <v>0.84165232358003439</v>
      </c>
      <c r="L8" s="73">
        <f>IF($C8="","",VLOOKUP($E8,'📊 SECCIONES'!$B$4:$S$9,16,FALSE()))</f>
        <v>0.54128061278831963</v>
      </c>
      <c r="M8" s="73">
        <f>IF($C8="","",VLOOKUP($E8,'📊 SECCIONES'!$B$4:$S$9,17,FALSE()))</f>
        <v>0.59585492227979275</v>
      </c>
      <c r="N8" s="73">
        <f>IF($C8="","",VLOOKUP($E8,'📊 SECCIONES'!$B$4:$S$9,18,FALSE()))</f>
        <v>0.28636363636363632</v>
      </c>
      <c r="O8" s="74">
        <f>IF($C8="","",ROUND('⚙️ SUPUESTOS'!$C$21*K8+'⚙️ SUPUESTOS'!$C$22*L8+'⚙️ SUPUESTOS'!$C$23*M8+'⚙️ SUPUESTOS'!$C$24*N8,4))</f>
        <v>0.69120000000000004</v>
      </c>
      <c r="P8" s="75">
        <f>IF($C8="","",VLOOKUP($E8,'📊 SECCIONES'!$B$4:$S$9,7,FALSE()))</f>
        <v>39.409999999999997</v>
      </c>
      <c r="Q8" s="76">
        <f>IF($C8="","",VLOOKUP($E8,'📊 SECCIONES'!$B$4:$S$9,8,FALSE()))</f>
        <v>22486</v>
      </c>
      <c r="R8" s="75">
        <f>IF($C8="","",VLOOKUP($E8,'📊 SECCIONES'!$B$4:$S$9,10,FALSE()))</f>
        <v>16.899999999999999</v>
      </c>
      <c r="S8" s="72">
        <f>IF('📇 INVENTARIO'!K9="","",'📇 INVENTARIO'!K9)</f>
        <v>3</v>
      </c>
      <c r="T8" s="77" t="str">
        <f t="shared" si="0"/>
        <v>Objetivo: alcanzar calificación C. Actual: Cal.G. SATE integral + cubierta + carpinterías triple + aerotermia + instalación fotovoltaica</v>
      </c>
      <c r="U8" s="70" t="str">
        <f t="shared" si="1"/>
        <v>—</v>
      </c>
      <c r="V8" s="78">
        <f>IF('📇 INVENTARIO'!L9="","",'📇 INVENTARIO'!L9)</f>
        <v>101.6</v>
      </c>
      <c r="W8" s="75">
        <f>IF($C8="","",V8*'⚙️ SUPUESTOS'!$C$8*'⚙️ SUPUESTOS'!$C$9)</f>
        <v>21.335999999999999</v>
      </c>
      <c r="X8" s="78">
        <f>IF('📇 INVENTARIO'!N9="","",'📇 INVENTARIO'!N9)</f>
        <v>1366</v>
      </c>
      <c r="Y8" s="78">
        <f>IF($C8="","",W8*X8*'⚙️ SUPUESTOS'!$C$7)</f>
        <v>26230.4784</v>
      </c>
      <c r="Z8" s="76">
        <f>IF($C8="","",W8*'⚙️ SUPUESTOS'!$C$10)</f>
        <v>28483.559999999998</v>
      </c>
      <c r="AA8" s="76">
        <f>IF($C8="","",Y8*('⚙️ SUPUESTOS'!$C$12*'⚙️ SUPUESTOS'!$C$11+(1-'⚙️ SUPUESTOS'!$C$12)*'⚙️ SUPUESTOS'!$C$13))</f>
        <v>1788.9186268800004</v>
      </c>
      <c r="AB8" s="76">
        <f>IF($C8="","",IF(Y8&gt;0,ROUND(Y8*'⚙️ SUPUESTOS'!$C$12*'⚙️ SUPUESTOS'!$C$11,0),""))</f>
        <v>656</v>
      </c>
      <c r="AC8" s="76">
        <f>IF($C8="","",IF(Y8&gt;0,ROUND(Y8*(1-'⚙️ SUPUESTOS'!$C$12)*'⚙️ SUPUESTOS'!$C$13,0),""))</f>
        <v>1133</v>
      </c>
      <c r="AD8" s="76">
        <f t="shared" si="2"/>
        <v>16239</v>
      </c>
      <c r="AE8" s="75">
        <f t="shared" si="3"/>
        <v>15.92222226992925</v>
      </c>
      <c r="AF8" s="70" t="str">
        <f>IF($C8="","",IF(AE8="","—",IF(AE8&lt;='⚙️ SUPUESTOS'!$C$32,"✔ Muy recomendable",IF(AE8&lt;='⚙️ SUPUESTOS'!$C$33,"✔ Recomendable","Valorar"))))</f>
        <v>✔ Recomendable</v>
      </c>
      <c r="AG8" s="79">
        <f>IF('📇 INVENTARIO'!O9="","",'📇 INVENTARIO'!O9)</f>
        <v>41.649749999999997</v>
      </c>
      <c r="AH8" s="79">
        <f>IF('📇 INVENTARIO'!P9="","",'📇 INVENTARIO'!P9)</f>
        <v>-4.70784</v>
      </c>
    </row>
    <row r="9" spans="1:34" ht="45" customHeight="1">
      <c r="A9" s="69">
        <f>IF($C9="","",RANK(O9,$O$3:$O$265,0)+COUNTIF($O$3:O9,O9)-1)</f>
        <v>7</v>
      </c>
      <c r="B9" s="70" t="str">
        <f>IF($C9="","",IF(A9&lt;='⚙️ SUPUESTOS'!$C$29,"Fase 1",IF(A9&lt;='⚙️ SUPUESTOS'!$C$30,"Fase 2","Fase 3")))</f>
        <v>Fase 1</v>
      </c>
      <c r="C9" s="71" t="str">
        <f>IF('📇 INVENTARIO'!B11="","",'📇 INVENTARIO'!B11)</f>
        <v>C/ Marabú, 1</v>
      </c>
      <c r="D9" s="70" t="str">
        <f>IF('📇 INVENTARIO'!C11="","",'📇 INVENTARIO'!C11)</f>
        <v>7924213UM5172D</v>
      </c>
      <c r="E9" s="70" t="str">
        <f>IF('📇 INVENTARIO'!D11="","",'📇 INVENTARIO'!D11)</f>
        <v>4718606024</v>
      </c>
      <c r="F9" s="70" t="str">
        <f>IF('📇 INVENTARIO'!F11="","",'📇 INVENTARIO'!F11)</f>
        <v>G</v>
      </c>
      <c r="G9" s="72">
        <f>IF('📇 INVENTARIO'!G11="","",'📇 INVENTARIO'!G11)</f>
        <v>724</v>
      </c>
      <c r="H9" s="72">
        <f>IF('📇 INVENTARIO'!H11="","",'📇 INVENTARIO'!H11)</f>
        <v>148</v>
      </c>
      <c r="I9" s="72">
        <f>IF('📇 INVENTARIO'!I11="","",'📇 INVENTARIO'!I11)</f>
        <v>374.5</v>
      </c>
      <c r="J9" s="72">
        <f>IF('📇 INVENTARIO'!J11="","",'📇 INVENTARIO'!J11)</f>
        <v>1965</v>
      </c>
      <c r="K9" s="73">
        <f>IF($C9="","",(G9-'⚙️ SUPUESTOS'!$C$20)/('⚙️ SUPUESTOS'!$C$25-'⚙️ SUPUESTOS'!$C$20))</f>
        <v>1</v>
      </c>
      <c r="L9" s="73">
        <f>IF($C9="","",VLOOKUP($E9,'📊 SECCIONES'!$B$4:$S$9,16,FALSE()))</f>
        <v>0.13391192517993736</v>
      </c>
      <c r="M9" s="73">
        <f>IF($C9="","",VLOOKUP($E9,'📊 SECCIONES'!$B$4:$S$9,17,FALSE()))</f>
        <v>0.16476683937823833</v>
      </c>
      <c r="N9" s="73">
        <f>IF($C9="","",VLOOKUP($E9,'📊 SECCIONES'!$B$4:$S$9,18,FALSE()))</f>
        <v>0.79545454545454541</v>
      </c>
      <c r="O9" s="74">
        <f>IF($C9="","",ROUND('⚙️ SUPUESTOS'!$C$21*K9+'⚙️ SUPUESTOS'!$C$22*L9+'⚙️ SUPUESTOS'!$C$23*M9+'⚙️ SUPUESTOS'!$C$24*N9,4))</f>
        <v>0.67410000000000003</v>
      </c>
      <c r="P9" s="75">
        <f>IF($C9="","",VLOOKUP($E9,'📊 SECCIONES'!$B$4:$S$9,7,FALSE()))</f>
        <v>30.06</v>
      </c>
      <c r="Q9" s="76">
        <f>IF($C9="","",VLOOKUP($E9,'📊 SECCIONES'!$B$4:$S$9,8,FALSE()))</f>
        <v>25132</v>
      </c>
      <c r="R9" s="75">
        <f>IF($C9="","",VLOOKUP($E9,'📊 SECCIONES'!$B$4:$S$9,10,FALSE()))</f>
        <v>28.1</v>
      </c>
      <c r="S9" s="72">
        <f>IF('📇 INVENTARIO'!K11="","",'📇 INVENTARIO'!K11)</f>
        <v>3</v>
      </c>
      <c r="T9" s="77" t="str">
        <f t="shared" si="0"/>
        <v>Objetivo: alcanzar calificación C. Actual: Cal.G. SATE integral + cubierta + carpinterías triple + aerotermia + instalación fotovoltaica</v>
      </c>
      <c r="U9" s="70" t="str">
        <f t="shared" si="1"/>
        <v>—</v>
      </c>
      <c r="V9" s="78">
        <f>IF('📇 INVENTARIO'!L11="","",'📇 INVENTARIO'!L11)</f>
        <v>97.4</v>
      </c>
      <c r="W9" s="75">
        <f>IF($C9="","",V9*'⚙️ SUPUESTOS'!$C$8*'⚙️ SUPUESTOS'!$C$9)</f>
        <v>20.454000000000001</v>
      </c>
      <c r="X9" s="78">
        <f>IF('📇 INVENTARIO'!N11="","",'📇 INVENTARIO'!N11)</f>
        <v>1394</v>
      </c>
      <c r="Y9" s="78">
        <f>IF($C9="","",W9*X9*'⚙️ SUPUESTOS'!$C$7)</f>
        <v>25661.588400000001</v>
      </c>
      <c r="Z9" s="76">
        <f>IF($C9="","",W9*'⚙️ SUPUESTOS'!$C$10)</f>
        <v>27306.09</v>
      </c>
      <c r="AA9" s="76">
        <f>IF($C9="","",Y9*('⚙️ SUPUESTOS'!$C$12*'⚙️ SUPUESTOS'!$C$11+(1-'⚙️ SUPUESTOS'!$C$12)*'⚙️ SUPUESTOS'!$C$13))</f>
        <v>1750.1203288800002</v>
      </c>
      <c r="AB9" s="76">
        <f>IF($C9="","",IF(Y9&gt;0,ROUND(Y9*'⚙️ SUPUESTOS'!$C$12*'⚙️ SUPUESTOS'!$C$11,0),""))</f>
        <v>642</v>
      </c>
      <c r="AC9" s="76">
        <f>IF($C9="","",IF(Y9&gt;0,ROUND(Y9*(1-'⚙️ SUPUESTOS'!$C$12)*'⚙️ SUPUESTOS'!$C$13,0),""))</f>
        <v>1109</v>
      </c>
      <c r="AD9" s="65">
        <f t="shared" si="2"/>
        <v>16447</v>
      </c>
      <c r="AE9" s="64">
        <f t="shared" si="3"/>
        <v>15.602407188467259</v>
      </c>
      <c r="AF9" s="59" t="str">
        <f>IF($C9="","",IF(AE9="","—",IF(AE9&lt;='⚙️ SUPUESTOS'!$C$32,"✔ Muy recomendable",IF(AE9&lt;='⚙️ SUPUESTOS'!$C$33,"✔ Recomendable","Valorar"))))</f>
        <v>✔ Recomendable</v>
      </c>
      <c r="AG9" s="68">
        <f>IF('📇 INVENTARIO'!O10="","",'📇 INVENTARIO'!O10)</f>
        <v>41.64922</v>
      </c>
      <c r="AH9" s="68">
        <f>IF('📇 INVENTARIO'!P10="","",'📇 INVENTARIO'!P10)</f>
        <v>-4.7107299999999999</v>
      </c>
    </row>
    <row r="10" spans="1:34" ht="45" customHeight="1">
      <c r="A10" s="58">
        <f>IF($C10="","",RANK(O10,$O$3:$O$265,0)+COUNTIF($O$3:O10,O10)-1)</f>
        <v>8</v>
      </c>
      <c r="B10" s="59" t="str">
        <f>IF($C10="","",IF(A10&lt;='⚙️ SUPUESTOS'!$C$29,"Fase 1",IF(A10&lt;='⚙️ SUPUESTOS'!$C$30,"Fase 2","Fase 3")))</f>
        <v>Fase 1</v>
      </c>
      <c r="C10" s="60" t="str">
        <f>IF('📇 INVENTARIO'!B10="","",'📇 INVENTARIO'!B10)</f>
        <v>C/ Pavo Real, 17</v>
      </c>
      <c r="D10" s="59" t="str">
        <f>IF('📇 INVENTARIO'!C10="","",'📇 INVENTARIO'!C10)</f>
        <v>7625406UM5172F</v>
      </c>
      <c r="E10" s="59" t="str">
        <f>IF('📇 INVENTARIO'!D10="","",'📇 INVENTARIO'!D10)</f>
        <v>4718606026</v>
      </c>
      <c r="F10" s="59" t="str">
        <f>IF('📇 INVENTARIO'!F10="","",'📇 INVENTARIO'!F10)</f>
        <v>G</v>
      </c>
      <c r="G10" s="61">
        <f>IF('📇 INVENTARIO'!G10="","",'📇 INVENTARIO'!G10)</f>
        <v>464</v>
      </c>
      <c r="H10" s="61">
        <f>IF('📇 INVENTARIO'!H10="","",'📇 INVENTARIO'!H10)</f>
        <v>118</v>
      </c>
      <c r="I10" s="61">
        <f>IF('📇 INVENTARIO'!I10="","",'📇 INVENTARIO'!I10)</f>
        <v>180.2</v>
      </c>
      <c r="J10" s="61">
        <f>IF('📇 INVENTARIO'!J10="","",'📇 INVENTARIO'!J10)</f>
        <v>1965</v>
      </c>
      <c r="K10" s="62">
        <f>IF($C10="","",(G10-'⚙️ SUPUESTOS'!$C$20)/('⚙️ SUPUESTOS'!$C$25-'⚙️ SUPUESTOS'!$C$20))</f>
        <v>0.55249569707401036</v>
      </c>
      <c r="L10" s="62">
        <f>IF($C10="","",VLOOKUP($E10,'📊 SECCIONES'!$B$4:$S$9,16,FALSE()))</f>
        <v>1</v>
      </c>
      <c r="M10" s="62">
        <f>IF($C10="","",VLOOKUP($E10,'📊 SECCIONES'!$B$4:$S$9,17,FALSE()))</f>
        <v>1</v>
      </c>
      <c r="N10" s="62">
        <f>IF($C10="","",VLOOKUP($E10,'📊 SECCIONES'!$B$4:$S$9,18,FALSE()))</f>
        <v>0</v>
      </c>
      <c r="O10" s="63">
        <f>IF($C10="","",ROUND('⚙️ SUPUESTOS'!$C$21*K10+'⚙️ SUPUESTOS'!$C$22*L10+'⚙️ SUPUESTOS'!$C$23*M10+'⚙️ SUPUESTOS'!$C$24*N10,4))</f>
        <v>0.66390000000000005</v>
      </c>
      <c r="P10" s="64">
        <f>IF($C10="","",VLOOKUP($E10,'📊 SECCIONES'!$B$4:$S$9,7,FALSE()))</f>
        <v>66.510000000000005</v>
      </c>
      <c r="Q10" s="65">
        <f>IF($C10="","",VLOOKUP($E10,'📊 SECCIONES'!$B$4:$S$9,8,FALSE()))</f>
        <v>17450</v>
      </c>
      <c r="R10" s="64">
        <f>IF($C10="","",VLOOKUP($E10,'📊 SECCIONES'!$B$4:$S$9,10,FALSE()))</f>
        <v>10.6</v>
      </c>
      <c r="S10" s="61">
        <f>IF('📇 INVENTARIO'!K10="","",'📇 INVENTARIO'!K10)</f>
        <v>3</v>
      </c>
      <c r="T10" s="66" t="str">
        <f t="shared" si="0"/>
        <v>Objetivo: alcanzar calificación C. Actual: Cal.G. SATE integral + cubierta + carpinterías triple + aerotermia + instalación fotovoltaica</v>
      </c>
      <c r="U10" s="59" t="str">
        <f t="shared" si="1"/>
        <v>—</v>
      </c>
      <c r="V10" s="67">
        <f>IF('📇 INVENTARIO'!L10="","",'📇 INVENTARIO'!L10)</f>
        <v>95.1</v>
      </c>
      <c r="W10" s="64">
        <f>IF($C10="","",V10*'⚙️ SUPUESTOS'!$C$8*'⚙️ SUPUESTOS'!$C$9)</f>
        <v>19.970999999999997</v>
      </c>
      <c r="X10" s="67">
        <f>IF('📇 INVENTARIO'!N10="","",'📇 INVENTARIO'!N10)</f>
        <v>1467</v>
      </c>
      <c r="Y10" s="67">
        <f>IF($C10="","",W10*X10*'⚙️ SUPUESTOS'!$C$7)</f>
        <v>26367.711299999995</v>
      </c>
      <c r="Z10" s="65">
        <f>IF($C10="","",W10*'⚙️ SUPUESTOS'!$C$10)</f>
        <v>26661.284999999996</v>
      </c>
      <c r="AA10" s="65">
        <f>IF($C10="","",Y10*('⚙️ SUPUESTOS'!$C$12*'⚙️ SUPUESTOS'!$C$11+(1-'⚙️ SUPUESTOS'!$C$12)*'⚙️ SUPUESTOS'!$C$13))</f>
        <v>1798.2779106599999</v>
      </c>
      <c r="AB10" s="65">
        <f>IF($C10="","",IF(Y10&gt;0,ROUND(Y10*'⚙️ SUPUESTOS'!$C$12*'⚙️ SUPUESTOS'!$C$11,0),""))</f>
        <v>659</v>
      </c>
      <c r="AC10" s="65">
        <f>IF($C10="","",IF(Y10&gt;0,ROUND(Y10*(1-'⚙️ SUPUESTOS'!$C$12)*'⚙️ SUPUESTOS'!$C$13,0),""))</f>
        <v>1139</v>
      </c>
      <c r="AD10" s="76">
        <f t="shared" si="2"/>
        <v>18296</v>
      </c>
      <c r="AE10" s="75">
        <f t="shared" si="3"/>
        <v>14.826009284746668</v>
      </c>
      <c r="AF10" s="70" t="str">
        <f>IF($C10="","",IF(AE10="","—",IF(AE10&lt;='⚙️ SUPUESTOS'!$C$32,"✔ Muy recomendable",IF(AE10&lt;='⚙️ SUPUESTOS'!$C$33,"✔ Recomendable","Valorar"))))</f>
        <v>✔ Muy recomendable</v>
      </c>
      <c r="AG10" s="79">
        <f>IF('📇 INVENTARIO'!O11="","",'📇 INVENTARIO'!O11)</f>
        <v>41.649340000000002</v>
      </c>
      <c r="AH10" s="79">
        <f>IF('📇 INVENTARIO'!P11="","",'📇 INVENTARIO'!P11)</f>
        <v>-4.7075699999999996</v>
      </c>
    </row>
    <row r="11" spans="1:34" ht="45" customHeight="1">
      <c r="A11" s="58">
        <f>IF($C11="","",RANK(O11,$O$3:$O$265,0)+COUNTIF($O$3:O11,O11)-1)</f>
        <v>9</v>
      </c>
      <c r="B11" s="59" t="str">
        <f>IF($C11="","",IF(A11&lt;='⚙️ SUPUESTOS'!$C$29,"Fase 1",IF(A11&lt;='⚙️ SUPUESTOS'!$C$30,"Fase 2","Fase 3")))</f>
        <v>Fase 1</v>
      </c>
      <c r="C11" s="60" t="str">
        <f>IF('📇 INVENTARIO'!B12="","",'📇 INVENTARIO'!B12)</f>
        <v>C/ Águila, 20</v>
      </c>
      <c r="D11" s="59" t="str">
        <f>IF('📇 INVENTARIO'!C12="","",'📇 INVENTARIO'!C12)</f>
        <v>7824519UM5172D</v>
      </c>
      <c r="E11" s="59" t="str">
        <f>IF('📇 INVENTARIO'!D12="","",'📇 INVENTARIO'!D12)</f>
        <v>4718606026</v>
      </c>
      <c r="F11" s="59" t="str">
        <f>IF('📇 INVENTARIO'!F12="","",'📇 INVENTARIO'!F12)</f>
        <v>G</v>
      </c>
      <c r="G11" s="61">
        <f>IF('📇 INVENTARIO'!G12="","",'📇 INVENTARIO'!G12)</f>
        <v>461</v>
      </c>
      <c r="H11" s="61">
        <f>IF('📇 INVENTARIO'!H12="","",'📇 INVENTARIO'!H12)</f>
        <v>79</v>
      </c>
      <c r="I11" s="61">
        <f>IF('📇 INVENTARIO'!I12="","",'📇 INVENTARIO'!I12)</f>
        <v>155.4</v>
      </c>
      <c r="J11" s="61">
        <f>IF('📇 INVENTARIO'!J12="","",'📇 INVENTARIO'!J12)</f>
        <v>1965</v>
      </c>
      <c r="K11" s="62">
        <f>IF($C11="","",(G11-'⚙️ SUPUESTOS'!$C$20)/('⚙️ SUPUESTOS'!$C$25-'⚙️ SUPUESTOS'!$C$20))</f>
        <v>0.54733218588640276</v>
      </c>
      <c r="L11" s="62">
        <f>IF($C11="","",VLOOKUP($E11,'📊 SECCIONES'!$B$4:$S$9,16,FALSE()))</f>
        <v>1</v>
      </c>
      <c r="M11" s="62">
        <f>IF($C11="","",VLOOKUP($E11,'📊 SECCIONES'!$B$4:$S$9,17,FALSE()))</f>
        <v>1</v>
      </c>
      <c r="N11" s="62">
        <f>IF($C11="","",VLOOKUP($E11,'📊 SECCIONES'!$B$4:$S$9,18,FALSE()))</f>
        <v>0</v>
      </c>
      <c r="O11" s="63">
        <f>IF($C11="","",ROUND('⚙️ SUPUESTOS'!$C$21*K11+'⚙️ SUPUESTOS'!$C$22*L11+'⚙️ SUPUESTOS'!$C$23*M11+'⚙️ SUPUESTOS'!$C$24*N11,4))</f>
        <v>0.66100000000000003</v>
      </c>
      <c r="P11" s="64">
        <f>IF($C11="","",VLOOKUP($E11,'📊 SECCIONES'!$B$4:$S$9,7,FALSE()))</f>
        <v>66.510000000000005</v>
      </c>
      <c r="Q11" s="65">
        <f>IF($C11="","",VLOOKUP($E11,'📊 SECCIONES'!$B$4:$S$9,8,FALSE()))</f>
        <v>17450</v>
      </c>
      <c r="R11" s="64">
        <f>IF($C11="","",VLOOKUP($E11,'📊 SECCIONES'!$B$4:$S$9,10,FALSE()))</f>
        <v>10.6</v>
      </c>
      <c r="S11" s="61">
        <f>IF('📇 INVENTARIO'!K12="","",'📇 INVENTARIO'!K12)</f>
        <v>3</v>
      </c>
      <c r="T11" s="66" t="str">
        <f t="shared" si="0"/>
        <v>Objetivo: alcanzar calificación C. Actual: Cal.G. SATE integral + cubierta + carpinterías triple + aerotermia + instalación fotovoltaica</v>
      </c>
      <c r="U11" s="59" t="str">
        <f t="shared" si="1"/>
        <v>—</v>
      </c>
      <c r="V11" s="67">
        <f>IF('📇 INVENTARIO'!L12="","",'📇 INVENTARIO'!L12)</f>
        <v>110.7</v>
      </c>
      <c r="W11" s="64">
        <f>IF($C11="","",V11*'⚙️ SUPUESTOS'!$C$8*'⚙️ SUPUESTOS'!$C$9)</f>
        <v>23.247</v>
      </c>
      <c r="X11" s="67">
        <f>IF('📇 INVENTARIO'!N12="","",'📇 INVENTARIO'!N12)</f>
        <v>1517</v>
      </c>
      <c r="Y11" s="67">
        <f>IF($C11="","",W11*X11*'⚙️ SUPUESTOS'!$C$7)</f>
        <v>31739.129100000002</v>
      </c>
      <c r="Z11" s="65">
        <f>IF($C11="","",W11*'⚙️ SUPUESTOS'!$C$10)</f>
        <v>31034.744999999999</v>
      </c>
      <c r="AA11" s="65">
        <f>IF($C11="","",Y11*('⚙️ SUPUESTOS'!$C$12*'⚙️ SUPUESTOS'!$C$11+(1-'⚙️ SUPUESTOS'!$C$12)*'⚙️ SUPUESTOS'!$C$13))</f>
        <v>2164.6086046200003</v>
      </c>
      <c r="AB11" s="65">
        <f>IF($C11="","",IF(Y11&gt;0,ROUND(Y11*'⚙️ SUPUESTOS'!$C$12*'⚙️ SUPUESTOS'!$C$11,0),""))</f>
        <v>793</v>
      </c>
      <c r="AC11" s="65">
        <f>IF($C11="","",IF(Y11&gt;0,ROUND(Y11*(1-'⚙️ SUPUESTOS'!$C$12)*'⚙️ SUPUESTOS'!$C$13,0),""))</f>
        <v>1371</v>
      </c>
      <c r="AD11" s="65">
        <f t="shared" si="2"/>
        <v>23080</v>
      </c>
      <c r="AE11" s="64">
        <f t="shared" si="3"/>
        <v>14.337347146159104</v>
      </c>
      <c r="AF11" s="59" t="str">
        <f>IF($C11="","",IF(AE11="","—",IF(AE11&lt;='⚙️ SUPUESTOS'!$C$32,"✔ Muy recomendable",IF(AE11&lt;='⚙️ SUPUESTOS'!$C$33,"✔ Recomendable","Valorar"))))</f>
        <v>✔ Muy recomendable</v>
      </c>
      <c r="AG11" s="68">
        <f>IF('📇 INVENTARIO'!O12="","",'📇 INVENTARIO'!O12)</f>
        <v>41.648890000000002</v>
      </c>
      <c r="AH11" s="68">
        <f>IF('📇 INVENTARIO'!P12="","",'📇 INVENTARIO'!P12)</f>
        <v>-4.70906</v>
      </c>
    </row>
    <row r="12" spans="1:34" ht="45" customHeight="1">
      <c r="A12" s="69">
        <f>IF($C12="","",RANK(O12,$O$3:$O$265,0)+COUNTIF($O$3:O12,O12)-1)</f>
        <v>10</v>
      </c>
      <c r="B12" s="70" t="str">
        <f>IF($C12="","",IF(A12&lt;='⚙️ SUPUESTOS'!$C$29,"Fase 1",IF(A12&lt;='⚙️ SUPUESTOS'!$C$30,"Fase 2","Fase 3")))</f>
        <v>Fase 1</v>
      </c>
      <c r="C12" s="71" t="str">
        <f>IF('📇 INVENTARIO'!B13="","",'📇 INVENTARIO'!B13)</f>
        <v>C/ Albatros, 1</v>
      </c>
      <c r="D12" s="70" t="str">
        <f>IF('📇 INVENTARIO'!C13="","",'📇 INVENTARIO'!C13)</f>
        <v>7724226UM5172D</v>
      </c>
      <c r="E12" s="70" t="str">
        <f>IF('📇 INVENTARIO'!D13="","",'📇 INVENTARIO'!D13)</f>
        <v>4718606026</v>
      </c>
      <c r="F12" s="70" t="str">
        <f>IF('📇 INVENTARIO'!F13="","",'📇 INVENTARIO'!F13)</f>
        <v>G</v>
      </c>
      <c r="G12" s="72">
        <f>IF('📇 INVENTARIO'!G13="","",'📇 INVENTARIO'!G13)</f>
        <v>454</v>
      </c>
      <c r="H12" s="72">
        <f>IF('📇 INVENTARIO'!H13="","",'📇 INVENTARIO'!H13)</f>
        <v>96</v>
      </c>
      <c r="I12" s="72">
        <f>IF('📇 INVENTARIO'!I13="","",'📇 INVENTARIO'!I13)</f>
        <v>173.2</v>
      </c>
      <c r="J12" s="72">
        <f>IF('📇 INVENTARIO'!J13="","",'📇 INVENTARIO'!J13)</f>
        <v>1965</v>
      </c>
      <c r="K12" s="73">
        <f>IF($C12="","",(G12-'⚙️ SUPUESTOS'!$C$20)/('⚙️ SUPUESTOS'!$C$25-'⚙️ SUPUESTOS'!$C$20))</f>
        <v>0.53528399311531838</v>
      </c>
      <c r="L12" s="73">
        <f>IF($C12="","",VLOOKUP($E12,'📊 SECCIONES'!$B$4:$S$9,16,FALSE()))</f>
        <v>1</v>
      </c>
      <c r="M12" s="73">
        <f>IF($C12="","",VLOOKUP($E12,'📊 SECCIONES'!$B$4:$S$9,17,FALSE()))</f>
        <v>1</v>
      </c>
      <c r="N12" s="73">
        <f>IF($C12="","",VLOOKUP($E12,'📊 SECCIONES'!$B$4:$S$9,18,FALSE()))</f>
        <v>0</v>
      </c>
      <c r="O12" s="74">
        <f>IF($C12="","",ROUND('⚙️ SUPUESTOS'!$C$21*K12+'⚙️ SUPUESTOS'!$C$22*L12+'⚙️ SUPUESTOS'!$C$23*M12+'⚙️ SUPUESTOS'!$C$24*N12,4))</f>
        <v>0.65439999999999998</v>
      </c>
      <c r="P12" s="75">
        <f>IF($C12="","",VLOOKUP($E12,'📊 SECCIONES'!$B$4:$S$9,7,FALSE()))</f>
        <v>66.510000000000005</v>
      </c>
      <c r="Q12" s="76">
        <f>IF($C12="","",VLOOKUP($E12,'📊 SECCIONES'!$B$4:$S$9,8,FALSE()))</f>
        <v>17450</v>
      </c>
      <c r="R12" s="75">
        <f>IF($C12="","",VLOOKUP($E12,'📊 SECCIONES'!$B$4:$S$9,10,FALSE()))</f>
        <v>10.6</v>
      </c>
      <c r="S12" s="72">
        <f>IF('📇 INVENTARIO'!K13="","",'📇 INVENTARIO'!K13)</f>
        <v>3</v>
      </c>
      <c r="T12" s="77" t="str">
        <f t="shared" si="0"/>
        <v>Objetivo: alcanzar calificación C. Actual: Cal.G. SATE integral + cubierta + carpinterías triple + aerotermia + instalación fotovoltaica</v>
      </c>
      <c r="U12" s="70" t="str">
        <f t="shared" si="1"/>
        <v>—</v>
      </c>
      <c r="V12" s="78">
        <f>IF('📇 INVENTARIO'!L13="","",'📇 INVENTARIO'!L13)</f>
        <v>95.5</v>
      </c>
      <c r="W12" s="75">
        <f>IF($C12="","",V12*'⚙️ SUPUESTOS'!$C$8*'⚙️ SUPUESTOS'!$C$9)</f>
        <v>20.055</v>
      </c>
      <c r="X12" s="78">
        <f>IF('📇 INVENTARIO'!N13="","",'📇 INVENTARIO'!N13)</f>
        <v>1431</v>
      </c>
      <c r="Y12" s="78">
        <f>IF($C12="","",W12*X12*'⚙️ SUPUESTOS'!$C$7)</f>
        <v>25828.834499999997</v>
      </c>
      <c r="Z12" s="76">
        <f>IF($C12="","",W12*'⚙️ SUPUESTOS'!$C$10)</f>
        <v>26773.424999999999</v>
      </c>
      <c r="AA12" s="76">
        <f>IF($C12="","",Y12*('⚙️ SUPUESTOS'!$C$12*'⚙️ SUPUESTOS'!$C$11+(1-'⚙️ SUPUESTOS'!$C$12)*'⚙️ SUPUESTOS'!$C$13))</f>
        <v>1761.5265129000002</v>
      </c>
      <c r="AB12" s="76">
        <f>IF($C12="","",IF(Y12&gt;0,ROUND(Y12*'⚙️ SUPUESTOS'!$C$12*'⚙️ SUPUESTOS'!$C$11,0),""))</f>
        <v>646</v>
      </c>
      <c r="AC12" s="76">
        <f>IF($C12="","",IF(Y12&gt;0,ROUND(Y12*(1-'⚙️ SUPUESTOS'!$C$12)*'⚙️ SUPUESTOS'!$C$13,0),""))</f>
        <v>1116</v>
      </c>
      <c r="AD12" s="76">
        <f t="shared" si="2"/>
        <v>17265</v>
      </c>
      <c r="AE12" s="75">
        <f t="shared" si="3"/>
        <v>15.19899065040067</v>
      </c>
      <c r="AF12" s="70" t="str">
        <f>IF($C12="","",IF(AE12="","—",IF(AE12&lt;='⚙️ SUPUESTOS'!$C$32,"✔ Muy recomendable",IF(AE12&lt;='⚙️ SUPUESTOS'!$C$33,"✔ Recomendable","Valorar"))))</f>
        <v>✔ Recomendable</v>
      </c>
      <c r="AG12" s="79">
        <f>IF('📇 INVENTARIO'!O13="","",'📇 INVENTARIO'!O13)</f>
        <v>41.648870000000002</v>
      </c>
      <c r="AH12" s="79">
        <f>IF('📇 INVENTARIO'!P13="","",'📇 INVENTARIO'!P13)</f>
        <v>-4.7104699999999999</v>
      </c>
    </row>
    <row r="13" spans="1:34" ht="45" customHeight="1">
      <c r="A13" s="58">
        <f>IF($C13="","",RANK(O13,$O$3:$O$265,0)+COUNTIF($O$3:O13,O13)-1)</f>
        <v>11</v>
      </c>
      <c r="B13" s="59" t="str">
        <f>IF($C13="","",IF(A13&lt;='⚙️ SUPUESTOS'!$C$29,"Fase 1",IF(A13&lt;='⚙️ SUPUESTOS'!$C$30,"Fase 2","Fase 3")))</f>
        <v>Fase 1</v>
      </c>
      <c r="C13" s="60" t="str">
        <f>IF('📇 INVENTARIO'!B14="","",'📇 INVENTARIO'!B14)</f>
        <v>C/ Papagayo, 6</v>
      </c>
      <c r="D13" s="59" t="str">
        <f>IF('📇 INVENTARIO'!C14="","",'📇 INVENTARIO'!C14)</f>
        <v>7825411UM5172F</v>
      </c>
      <c r="E13" s="59" t="str">
        <f>IF('📇 INVENTARIO'!D14="","",'📇 INVENTARIO'!D14)</f>
        <v>4718606023</v>
      </c>
      <c r="F13" s="59" t="str">
        <f>IF('📇 INVENTARIO'!F14="","",'📇 INVENTARIO'!F14)</f>
        <v>G</v>
      </c>
      <c r="G13" s="61">
        <f>IF('📇 INVENTARIO'!G14="","",'📇 INVENTARIO'!G14)</f>
        <v>589</v>
      </c>
      <c r="H13" s="61">
        <f>IF('📇 INVENTARIO'!H14="","",'📇 INVENTARIO'!H14)</f>
        <v>100</v>
      </c>
      <c r="I13" s="61">
        <f>IF('📇 INVENTARIO'!I14="","",'📇 INVENTARIO'!I14)</f>
        <v>242.3</v>
      </c>
      <c r="J13" s="61">
        <f>IF('📇 INVENTARIO'!J14="","",'📇 INVENTARIO'!J14)</f>
        <v>1965</v>
      </c>
      <c r="K13" s="62">
        <f>IF($C13="","",(G13-'⚙️ SUPUESTOS'!$C$20)/('⚙️ SUPUESTOS'!$C$25-'⚙️ SUPUESTOS'!$C$20))</f>
        <v>0.76764199655765919</v>
      </c>
      <c r="L13" s="62">
        <f>IF($C13="","",VLOOKUP($E13,'📊 SECCIONES'!$B$4:$S$9,16,FALSE()))</f>
        <v>0.54128061278831963</v>
      </c>
      <c r="M13" s="62">
        <f>IF($C13="","",VLOOKUP($E13,'📊 SECCIONES'!$B$4:$S$9,17,FALSE()))</f>
        <v>0.59585492227979275</v>
      </c>
      <c r="N13" s="62">
        <f>IF($C13="","",VLOOKUP($E13,'📊 SECCIONES'!$B$4:$S$9,18,FALSE()))</f>
        <v>0.28636363636363632</v>
      </c>
      <c r="O13" s="63">
        <f>IF($C13="","",ROUND('⚙️ SUPUESTOS'!$C$21*K13+'⚙️ SUPUESTOS'!$C$22*L13+'⚙️ SUPUESTOS'!$C$23*M13+'⚙️ SUPUESTOS'!$C$24*N13,4))</f>
        <v>0.65049999999999997</v>
      </c>
      <c r="P13" s="64">
        <f>IF($C13="","",VLOOKUP($E13,'📊 SECCIONES'!$B$4:$S$9,7,FALSE()))</f>
        <v>39.409999999999997</v>
      </c>
      <c r="Q13" s="65">
        <f>IF($C13="","",VLOOKUP($E13,'📊 SECCIONES'!$B$4:$S$9,8,FALSE()))</f>
        <v>22486</v>
      </c>
      <c r="R13" s="64">
        <f>IF($C13="","",VLOOKUP($E13,'📊 SECCIONES'!$B$4:$S$9,10,FALSE()))</f>
        <v>16.899999999999999</v>
      </c>
      <c r="S13" s="61">
        <f>IF('📇 INVENTARIO'!K14="","",'📇 INVENTARIO'!K14)</f>
        <v>3</v>
      </c>
      <c r="T13" s="66" t="str">
        <f t="shared" si="0"/>
        <v>Objetivo: alcanzar calificación C. Actual: Cal.G. SATE integral + cubierta + carpinterías triple + aerotermia + instalación fotovoltaica</v>
      </c>
      <c r="U13" s="59" t="str">
        <f t="shared" si="1"/>
        <v>—</v>
      </c>
      <c r="V13" s="67">
        <f>IF('📇 INVENTARIO'!L14="","",'📇 INVENTARIO'!L14)</f>
        <v>100.8</v>
      </c>
      <c r="W13" s="64">
        <f>IF($C13="","",V13*'⚙️ SUPUESTOS'!$C$8*'⚙️ SUPUESTOS'!$C$9)</f>
        <v>21.167999999999999</v>
      </c>
      <c r="X13" s="67">
        <f>IF('📇 INVENTARIO'!N14="","",'📇 INVENTARIO'!N14)</f>
        <v>1399</v>
      </c>
      <c r="Y13" s="67">
        <f>IF($C13="","",W13*X13*'⚙️ SUPUESTOS'!$C$7)</f>
        <v>26652.628799999999</v>
      </c>
      <c r="Z13" s="65">
        <f>IF($C13="","",W13*'⚙️ SUPUESTOS'!$C$10)</f>
        <v>28259.279999999999</v>
      </c>
      <c r="AA13" s="65">
        <f>IF($C13="","",Y13*('⚙️ SUPUESTOS'!$C$12*'⚙️ SUPUESTOS'!$C$11+(1-'⚙️ SUPUESTOS'!$C$12)*'⚙️ SUPUESTOS'!$C$13))</f>
        <v>1817.7092841600002</v>
      </c>
      <c r="AB13" s="65">
        <f>IF($C13="","",IF(Y13&gt;0,ROUND(Y13*'⚙️ SUPUESTOS'!$C$12*'⚙️ SUPUESTOS'!$C$11,0),""))</f>
        <v>666</v>
      </c>
      <c r="AC13" s="65">
        <f>IF($C13="","",IF(Y13&gt;0,ROUND(Y13*(1-'⚙️ SUPUESTOS'!$C$12)*'⚙️ SUPUESTOS'!$C$13,0),""))</f>
        <v>1151</v>
      </c>
      <c r="AD13" s="65">
        <f t="shared" si="2"/>
        <v>17183</v>
      </c>
      <c r="AE13" s="64">
        <f t="shared" si="3"/>
        <v>15.546644475141788</v>
      </c>
      <c r="AF13" s="59" t="str">
        <f>IF($C13="","",IF(AE13="","—",IF(AE13&lt;='⚙️ SUPUESTOS'!$C$32,"✔ Muy recomendable",IF(AE13&lt;='⚙️ SUPUESTOS'!$C$33,"✔ Recomendable","Valorar"))))</f>
        <v>✔ Recomendable</v>
      </c>
      <c r="AG13" s="68">
        <f>IF('📇 INVENTARIO'!O14="","",'📇 INVENTARIO'!O14)</f>
        <v>41.649560000000001</v>
      </c>
      <c r="AH13" s="68">
        <f>IF('📇 INVENTARIO'!P14="","",'📇 INVENTARIO'!P14)</f>
        <v>-4.7081799999999996</v>
      </c>
    </row>
    <row r="14" spans="1:34" ht="45" customHeight="1">
      <c r="A14" s="69">
        <f>IF($C14="","",RANK(O14,$O$3:$O$265,0)+COUNTIF($O$3:O14,O14)-1)</f>
        <v>12</v>
      </c>
      <c r="B14" s="70" t="str">
        <f>IF($C14="","",IF(A14&lt;='⚙️ SUPUESTOS'!$C$29,"Fase 1",IF(A14&lt;='⚙️ SUPUESTOS'!$C$30,"Fase 2","Fase 3")))</f>
        <v>Fase 1</v>
      </c>
      <c r="C14" s="71" t="str">
        <f>IF('📇 INVENTARIO'!B15="","",'📇 INVENTARIO'!B15)</f>
        <v>C/ Villabáñez, 18</v>
      </c>
      <c r="D14" s="70" t="str">
        <f>IF('📇 INVENTARIO'!C15="","",'📇 INVENTARIO'!C15)</f>
        <v>7824502UM5172D</v>
      </c>
      <c r="E14" s="70" t="str">
        <f>IF('📇 INVENTARIO'!D15="","",'📇 INVENTARIO'!D15)</f>
        <v>4718606026</v>
      </c>
      <c r="F14" s="70" t="str">
        <f>IF('📇 INVENTARIO'!F15="","",'📇 INVENTARIO'!F15)</f>
        <v>G</v>
      </c>
      <c r="G14" s="72">
        <f>IF('📇 INVENTARIO'!G15="","",'📇 INVENTARIO'!G15)</f>
        <v>442</v>
      </c>
      <c r="H14" s="72">
        <f>IF('📇 INVENTARIO'!H15="","",'📇 INVENTARIO'!H15)</f>
        <v>93</v>
      </c>
      <c r="I14" s="72">
        <f>IF('📇 INVENTARIO'!I15="","",'📇 INVENTARIO'!I15)</f>
        <v>200</v>
      </c>
      <c r="J14" s="72">
        <f>IF('📇 INVENTARIO'!J15="","",'📇 INVENTARIO'!J15)</f>
        <v>1965</v>
      </c>
      <c r="K14" s="73">
        <f>IF($C14="","",(G14-'⚙️ SUPUESTOS'!$C$20)/('⚙️ SUPUESTOS'!$C$25-'⚙️ SUPUESTOS'!$C$20))</f>
        <v>0.51462994836488818</v>
      </c>
      <c r="L14" s="73">
        <f>IF($C14="","",VLOOKUP($E14,'📊 SECCIONES'!$B$4:$S$9,16,FALSE()))</f>
        <v>1</v>
      </c>
      <c r="M14" s="73">
        <f>IF($C14="","",VLOOKUP($E14,'📊 SECCIONES'!$B$4:$S$9,17,FALSE()))</f>
        <v>1</v>
      </c>
      <c r="N14" s="73">
        <f>IF($C14="","",VLOOKUP($E14,'📊 SECCIONES'!$B$4:$S$9,18,FALSE()))</f>
        <v>0</v>
      </c>
      <c r="O14" s="74">
        <f>IF($C14="","",ROUND('⚙️ SUPUESTOS'!$C$21*K14+'⚙️ SUPUESTOS'!$C$22*L14+'⚙️ SUPUESTOS'!$C$23*M14+'⚙️ SUPUESTOS'!$C$24*N14,4))</f>
        <v>0.64300000000000002</v>
      </c>
      <c r="P14" s="75">
        <f>IF($C14="","",VLOOKUP($E14,'📊 SECCIONES'!$B$4:$S$9,7,FALSE()))</f>
        <v>66.510000000000005</v>
      </c>
      <c r="Q14" s="76">
        <f>IF($C14="","",VLOOKUP($E14,'📊 SECCIONES'!$B$4:$S$9,8,FALSE()))</f>
        <v>17450</v>
      </c>
      <c r="R14" s="75">
        <f>IF($C14="","",VLOOKUP($E14,'📊 SECCIONES'!$B$4:$S$9,10,FALSE()))</f>
        <v>10.6</v>
      </c>
      <c r="S14" s="72">
        <f>IF('📇 INVENTARIO'!K15="","",'📇 INVENTARIO'!K15)</f>
        <v>3</v>
      </c>
      <c r="T14" s="77" t="str">
        <f t="shared" si="0"/>
        <v>Objetivo: alcanzar calificación C. Actual: Cal.G. SATE integral + cubierta + carpinterías triple + aerotermia + instalación fotovoltaica</v>
      </c>
      <c r="U14" s="70" t="str">
        <f t="shared" si="1"/>
        <v>—</v>
      </c>
      <c r="V14" s="78">
        <f>IF('📇 INVENTARIO'!L15="","",'📇 INVENTARIO'!L15)</f>
        <v>113.4</v>
      </c>
      <c r="W14" s="75">
        <f>IF($C14="","",V14*'⚙️ SUPUESTOS'!$C$8*'⚙️ SUPUESTOS'!$C$9)</f>
        <v>23.814</v>
      </c>
      <c r="X14" s="78">
        <f>IF('📇 INVENTARIO'!N15="","",'📇 INVENTARIO'!N15)</f>
        <v>1421</v>
      </c>
      <c r="Y14" s="78">
        <f>IF($C14="","",W14*X14*'⚙️ SUPUESTOS'!$C$7)</f>
        <v>30455.724600000005</v>
      </c>
      <c r="Z14" s="76">
        <f>IF($C14="","",W14*'⚙️ SUPUESTOS'!$C$10)</f>
        <v>31791.69</v>
      </c>
      <c r="AA14" s="76">
        <f>IF($C14="","",Y14*('⚙️ SUPUESTOS'!$C$12*'⚙️ SUPUESTOS'!$C$11+(1-'⚙️ SUPUESTOS'!$C$12)*'⚙️ SUPUESTOS'!$C$13))</f>
        <v>2077.0804177200007</v>
      </c>
      <c r="AB14" s="76">
        <f>IF($C14="","",IF(Y14&gt;0,ROUND(Y14*'⚙️ SUPUESTOS'!$C$12*'⚙️ SUPUESTOS'!$C$11,0),""))</f>
        <v>761</v>
      </c>
      <c r="AC14" s="76">
        <f>IF($C14="","",IF(Y14&gt;0,ROUND(Y14*(1-'⚙️ SUPUESTOS'!$C$12)*'⚙️ SUPUESTOS'!$C$13,0),""))</f>
        <v>1316</v>
      </c>
      <c r="AD14" s="76">
        <f t="shared" si="2"/>
        <v>20135</v>
      </c>
      <c r="AE14" s="75">
        <f t="shared" si="3"/>
        <v>15.305950472007991</v>
      </c>
      <c r="AF14" s="70" t="str">
        <f>IF($C14="","",IF(AE14="","—",IF(AE14&lt;='⚙️ SUPUESTOS'!$C$32,"✔ Muy recomendable",IF(AE14&lt;='⚙️ SUPUESTOS'!$C$33,"✔ Recomendable","Valorar"))))</f>
        <v>✔ Recomendable</v>
      </c>
      <c r="AG14" s="79">
        <f>IF('📇 INVENTARIO'!O15="","",'📇 INVENTARIO'!O15)</f>
        <v>41.648960000000002</v>
      </c>
      <c r="AH14" s="79">
        <f>IF('📇 INVENTARIO'!P15="","",'📇 INVENTARIO'!P15)</f>
        <v>-4.7086399999999999</v>
      </c>
    </row>
    <row r="15" spans="1:34" ht="45" customHeight="1">
      <c r="A15" s="58">
        <f>IF($C15="","",RANK(O15,$O$3:$O$265,0)+COUNTIF($O$3:O15,O15)-1)</f>
        <v>13</v>
      </c>
      <c r="B15" s="59" t="str">
        <f>IF($C15="","",IF(A15&lt;='⚙️ SUPUESTOS'!$C$29,"Fase 1",IF(A15&lt;='⚙️ SUPUESTOS'!$C$30,"Fase 2","Fase 3")))</f>
        <v>Fase 1</v>
      </c>
      <c r="C15" s="60" t="str">
        <f>IF('📇 INVENTARIO'!B16="","",'📇 INVENTARIO'!B16)</f>
        <v>C/ Cuclillo, 3</v>
      </c>
      <c r="D15" s="59" t="str">
        <f>IF('📇 INVENTARIO'!C16="","",'📇 INVENTARIO'!C16)</f>
        <v>7724216UM5172D</v>
      </c>
      <c r="E15" s="59" t="str">
        <f>IF('📇 INVENTARIO'!D16="","",'📇 INVENTARIO'!D16)</f>
        <v>4718606026</v>
      </c>
      <c r="F15" s="59" t="str">
        <f>IF('📇 INVENTARIO'!F16="","",'📇 INVENTARIO'!F16)</f>
        <v>G</v>
      </c>
      <c r="G15" s="61">
        <f>IF('📇 INVENTARIO'!G16="","",'📇 INVENTARIO'!G16)</f>
        <v>442</v>
      </c>
      <c r="H15" s="61">
        <f>IF('📇 INVENTARIO'!H16="","",'📇 INVENTARIO'!H16)</f>
        <v>88</v>
      </c>
      <c r="I15" s="61">
        <f>IF('📇 INVENTARIO'!I16="","",'📇 INVENTARIO'!I16)</f>
        <v>223.4</v>
      </c>
      <c r="J15" s="61">
        <f>IF('📇 INVENTARIO'!J16="","",'📇 INVENTARIO'!J16)</f>
        <v>1965</v>
      </c>
      <c r="K15" s="62">
        <f>IF($C15="","",(G15-'⚙️ SUPUESTOS'!$C$20)/('⚙️ SUPUESTOS'!$C$25-'⚙️ SUPUESTOS'!$C$20))</f>
        <v>0.51462994836488818</v>
      </c>
      <c r="L15" s="62">
        <f>IF($C15="","",VLOOKUP($E15,'📊 SECCIONES'!$B$4:$S$9,16,FALSE()))</f>
        <v>1</v>
      </c>
      <c r="M15" s="62">
        <f>IF($C15="","",VLOOKUP($E15,'📊 SECCIONES'!$B$4:$S$9,17,FALSE()))</f>
        <v>1</v>
      </c>
      <c r="N15" s="62">
        <f>IF($C15="","",VLOOKUP($E15,'📊 SECCIONES'!$B$4:$S$9,18,FALSE()))</f>
        <v>0</v>
      </c>
      <c r="O15" s="63">
        <f>IF($C15="","",ROUND('⚙️ SUPUESTOS'!$C$21*K15+'⚙️ SUPUESTOS'!$C$22*L15+'⚙️ SUPUESTOS'!$C$23*M15+'⚙️ SUPUESTOS'!$C$24*N15,4))</f>
        <v>0.64300000000000002</v>
      </c>
      <c r="P15" s="64">
        <f>IF($C15="","",VLOOKUP($E15,'📊 SECCIONES'!$B$4:$S$9,7,FALSE()))</f>
        <v>66.510000000000005</v>
      </c>
      <c r="Q15" s="65">
        <f>IF($C15="","",VLOOKUP($E15,'📊 SECCIONES'!$B$4:$S$9,8,FALSE()))</f>
        <v>17450</v>
      </c>
      <c r="R15" s="64">
        <f>IF($C15="","",VLOOKUP($E15,'📊 SECCIONES'!$B$4:$S$9,10,FALSE()))</f>
        <v>10.6</v>
      </c>
      <c r="S15" s="61">
        <f>IF('📇 INVENTARIO'!K16="","",'📇 INVENTARIO'!K16)</f>
        <v>3</v>
      </c>
      <c r="T15" s="66" t="str">
        <f t="shared" si="0"/>
        <v>Objetivo: alcanzar calificación C. Actual: Cal.G. SATE integral + cubierta + carpinterías triple + aerotermia + instalación fotovoltaica</v>
      </c>
      <c r="U15" s="59" t="str">
        <f t="shared" si="1"/>
        <v>—</v>
      </c>
      <c r="V15" s="67">
        <f>IF('📇 INVENTARIO'!L16="","",'📇 INVENTARIO'!L16)</f>
        <v>104.6</v>
      </c>
      <c r="W15" s="64">
        <f>IF($C15="","",V15*'⚙️ SUPUESTOS'!$C$8*'⚙️ SUPUESTOS'!$C$9)</f>
        <v>21.965999999999998</v>
      </c>
      <c r="X15" s="67">
        <f>IF('📇 INVENTARIO'!N16="","",'📇 INVENTARIO'!N16)</f>
        <v>1328</v>
      </c>
      <c r="Y15" s="67">
        <f>IF($C15="","",W15*X15*'⚙️ SUPUESTOS'!$C$7)</f>
        <v>26253.763199999998</v>
      </c>
      <c r="Z15" s="65">
        <f>IF($C15="","",W15*'⚙️ SUPUESTOS'!$C$10)</f>
        <v>29324.609999999997</v>
      </c>
      <c r="AA15" s="65">
        <f>IF($C15="","",Y15*('⚙️ SUPUESTOS'!$C$12*'⚙️ SUPUESTOS'!$C$11+(1-'⚙️ SUPUESTOS'!$C$12)*'⚙️ SUPUESTOS'!$C$13))</f>
        <v>1790.5066502400002</v>
      </c>
      <c r="AB15" s="65">
        <f>IF($C15="","",IF(Y15&gt;0,ROUND(Y15*'⚙️ SUPUESTOS'!$C$12*'⚙️ SUPUESTOS'!$C$11,0),""))</f>
        <v>656</v>
      </c>
      <c r="AC15" s="65">
        <f>IF($C15="","",IF(Y15&gt;0,ROUND(Y15*(1-'⚙️ SUPUESTOS'!$C$12)*'⚙️ SUPUESTOS'!$C$13,0),""))</f>
        <v>1134</v>
      </c>
      <c r="AD15" s="65">
        <f t="shared" si="2"/>
        <v>15438</v>
      </c>
      <c r="AE15" s="64">
        <f t="shared" si="3"/>
        <v>16.377828027653131</v>
      </c>
      <c r="AF15" s="59" t="str">
        <f>IF($C15="","",IF(AE15="","—",IF(AE15&lt;='⚙️ SUPUESTOS'!$C$32,"✔ Muy recomendable",IF(AE15&lt;='⚙️ SUPUESTOS'!$C$33,"✔ Recomendable","Valorar"))))</f>
        <v>Valorar</v>
      </c>
      <c r="AG15" s="68">
        <f>IF('📇 INVENTARIO'!O16="","",'📇 INVENTARIO'!O16)</f>
        <v>41.648758999999998</v>
      </c>
      <c r="AH15" s="68">
        <f>IF('📇 INVENTARIO'!P16="","",'📇 INVENTARIO'!P16)</f>
        <v>-4.7096809999999998</v>
      </c>
    </row>
    <row r="16" spans="1:34" ht="45" customHeight="1">
      <c r="A16" s="69">
        <f>IF($C16="","",RANK(O16,$O$3:$O$265,0)+COUNTIF($O$3:O16,O16)-1)</f>
        <v>14</v>
      </c>
      <c r="B16" s="70" t="str">
        <f>IF($C16="","",IF(A16&lt;='⚙️ SUPUESTOS'!$C$29,"Fase 1",IF(A16&lt;='⚙️ SUPUESTOS'!$C$30,"Fase 2","Fase 3")))</f>
        <v>Fase 1</v>
      </c>
      <c r="C16" s="71" t="str">
        <f>IF('📇 INVENTARIO'!B17="","",'📇 INVENTARIO'!B17)</f>
        <v>C/ Águila, 21</v>
      </c>
      <c r="D16" s="70" t="str">
        <f>IF('📇 INVENTARIO'!C17="","",'📇 INVENTARIO'!C17)</f>
        <v>7724217UM5172D</v>
      </c>
      <c r="E16" s="70" t="str">
        <f>IF('📇 INVENTARIO'!D17="","",'📇 INVENTARIO'!D17)</f>
        <v>4718606026</v>
      </c>
      <c r="F16" s="70" t="str">
        <f>IF('📇 INVENTARIO'!F17="","",'📇 INVENTARIO'!F17)</f>
        <v>E</v>
      </c>
      <c r="G16" s="72">
        <f>IF('📇 INVENTARIO'!G17="","",'📇 INVENTARIO'!G17)</f>
        <v>442</v>
      </c>
      <c r="H16" s="72">
        <f>IF('📇 INVENTARIO'!H17="","",'📇 INVENTARIO'!H17)</f>
        <v>92.5</v>
      </c>
      <c r="I16" s="72">
        <f>IF('📇 INVENTARIO'!I17="","",'📇 INVENTARIO'!I17)</f>
        <v>203.3</v>
      </c>
      <c r="J16" s="72">
        <f>IF('📇 INVENTARIO'!J17="","",'📇 INVENTARIO'!J17)</f>
        <v>1965</v>
      </c>
      <c r="K16" s="73">
        <f>IF($C16="","",(G16-'⚙️ SUPUESTOS'!$C$20)/('⚙️ SUPUESTOS'!$C$25-'⚙️ SUPUESTOS'!$C$20))</f>
        <v>0.51462994836488818</v>
      </c>
      <c r="L16" s="73">
        <f>IF($C16="","",VLOOKUP($E16,'📊 SECCIONES'!$B$4:$S$9,16,FALSE()))</f>
        <v>1</v>
      </c>
      <c r="M16" s="73">
        <f>IF($C16="","",VLOOKUP($E16,'📊 SECCIONES'!$B$4:$S$9,17,FALSE()))</f>
        <v>1</v>
      </c>
      <c r="N16" s="73">
        <f>IF($C16="","",VLOOKUP($E16,'📊 SECCIONES'!$B$4:$S$9,18,FALSE()))</f>
        <v>0</v>
      </c>
      <c r="O16" s="74">
        <f>IF($C16="","",ROUND('⚙️ SUPUESTOS'!$C$21*K16+'⚙️ SUPUESTOS'!$C$22*L16+'⚙️ SUPUESTOS'!$C$23*M16+'⚙️ SUPUESTOS'!$C$24*N16,4))</f>
        <v>0.64300000000000002</v>
      </c>
      <c r="P16" s="75">
        <f>IF($C16="","",VLOOKUP($E16,'📊 SECCIONES'!$B$4:$S$9,7,FALSE()))</f>
        <v>66.510000000000005</v>
      </c>
      <c r="Q16" s="76">
        <f>IF($C16="","",VLOOKUP($E16,'📊 SECCIONES'!$B$4:$S$9,8,FALSE()))</f>
        <v>17450</v>
      </c>
      <c r="R16" s="75">
        <f>IF($C16="","",VLOOKUP($E16,'📊 SECCIONES'!$B$4:$S$9,10,FALSE()))</f>
        <v>10.6</v>
      </c>
      <c r="S16" s="72">
        <f>IF('📇 INVENTARIO'!K17="","",'📇 INVENTARIO'!K17)</f>
        <v>3</v>
      </c>
      <c r="T16" s="77" t="str">
        <f t="shared" si="0"/>
        <v>Objetivo: alcanzar calificación C. Actual: Cal.E. SATE fachada + carpinterías doble + instalación fotovoltaica</v>
      </c>
      <c r="U16" s="70" t="str">
        <f t="shared" si="1"/>
        <v>—</v>
      </c>
      <c r="V16" s="78">
        <f>IF('📇 INVENTARIO'!L17="","",'📇 INVENTARIO'!L17)</f>
        <v>98.1</v>
      </c>
      <c r="W16" s="75">
        <f>IF($C16="","",V16*'⚙️ SUPUESTOS'!$C$8*'⚙️ SUPUESTOS'!$C$9)</f>
        <v>20.600999999999999</v>
      </c>
      <c r="X16" s="78">
        <f>IF('📇 INVENTARIO'!N17="","",'📇 INVENTARIO'!N17)</f>
        <v>1396</v>
      </c>
      <c r="Y16" s="78">
        <f>IF($C16="","",W16*X16*'⚙️ SUPUESTOS'!$C$7)</f>
        <v>25883.096399999999</v>
      </c>
      <c r="Z16" s="76">
        <f>IF($C16="","",W16*'⚙️ SUPUESTOS'!$C$10)</f>
        <v>27502.334999999999</v>
      </c>
      <c r="AA16" s="76">
        <f>IF($C16="","",Y16*('⚙️ SUPUESTOS'!$C$12*'⚙️ SUPUESTOS'!$C$11+(1-'⚙️ SUPUESTOS'!$C$12)*'⚙️ SUPUESTOS'!$C$13))</f>
        <v>1765.2271744800003</v>
      </c>
      <c r="AB16" s="76">
        <f>IF($C16="","",IF(Y16&gt;0,ROUND(Y16*'⚙️ SUPUESTOS'!$C$12*'⚙️ SUPUESTOS'!$C$11,0),""))</f>
        <v>647</v>
      </c>
      <c r="AC16" s="76">
        <f>IF($C16="","",IF(Y16&gt;0,ROUND(Y16*(1-'⚙️ SUPUESTOS'!$C$12)*'⚙️ SUPUESTOS'!$C$13,0),""))</f>
        <v>1118</v>
      </c>
      <c r="AD16" s="76">
        <f t="shared" si="2"/>
        <v>16628</v>
      </c>
      <c r="AE16" s="75">
        <f t="shared" si="3"/>
        <v>15.580054169572607</v>
      </c>
      <c r="AF16" s="70" t="str">
        <f>IF($C16="","",IF(AE16="","—",IF(AE16&lt;='⚙️ SUPUESTOS'!$C$32,"✔ Muy recomendable",IF(AE16&lt;='⚙️ SUPUESTOS'!$C$33,"✔ Recomendable","Valorar"))))</f>
        <v>✔ Recomendable</v>
      </c>
      <c r="AG16" s="79">
        <f>IF('📇 INVENTARIO'!O17="","",'📇 INVENTARIO'!O17)</f>
        <v>41.648580000000003</v>
      </c>
      <c r="AH16" s="79">
        <f>IF('📇 INVENTARIO'!P17="","",'📇 INVENTARIO'!P17)</f>
        <v>-4.7094800000000001</v>
      </c>
    </row>
    <row r="17" spans="1:34" ht="45" customHeight="1">
      <c r="A17" s="58">
        <f>IF($C17="","",RANK(O17,$O$3:$O$265,0)+COUNTIF($O$3:O17,O17)-1)</f>
        <v>15</v>
      </c>
      <c r="B17" s="59" t="str">
        <f>IF($C17="","",IF(A17&lt;='⚙️ SUPUESTOS'!$C$29,"Fase 1",IF(A17&lt;='⚙️ SUPUESTOS'!$C$30,"Fase 2","Fase 3")))</f>
        <v>Fase 1</v>
      </c>
      <c r="C17" s="60" t="str">
        <f>IF('📇 INVENTARIO'!B18="","",'📇 INVENTARIO'!B18)</f>
        <v>C/ Pavo Real, 19</v>
      </c>
      <c r="D17" s="59" t="str">
        <f>IF('📇 INVENTARIO'!C18="","",'📇 INVENTARIO'!C18)</f>
        <v>7625405UM5172F</v>
      </c>
      <c r="E17" s="59" t="str">
        <f>IF('📇 INVENTARIO'!D18="","",'📇 INVENTARIO'!D18)</f>
        <v>4718606026</v>
      </c>
      <c r="F17" s="59" t="str">
        <f>IF('📇 INVENTARIO'!F18="","",'📇 INVENTARIO'!F18)</f>
        <v>G</v>
      </c>
      <c r="G17" s="61">
        <f>IF('📇 INVENTARIO'!G18="","",'📇 INVENTARIO'!G18)</f>
        <v>434</v>
      </c>
      <c r="H17" s="61">
        <f>IF('📇 INVENTARIO'!H18="","",'📇 INVENTARIO'!H18)</f>
        <v>73</v>
      </c>
      <c r="I17" s="61">
        <f>IF('📇 INVENTARIO'!I18="","",'📇 INVENTARIO'!I18)</f>
        <v>135.80000000000001</v>
      </c>
      <c r="J17" s="61">
        <f>IF('📇 INVENTARIO'!J18="","",'📇 INVENTARIO'!J18)</f>
        <v>1965</v>
      </c>
      <c r="K17" s="62">
        <f>IF($C17="","",(G17-'⚙️ SUPUESTOS'!$C$20)/('⚙️ SUPUESTOS'!$C$25-'⚙️ SUPUESTOS'!$C$20))</f>
        <v>0.50086058519793464</v>
      </c>
      <c r="L17" s="62">
        <f>IF($C17="","",VLOOKUP($E17,'📊 SECCIONES'!$B$4:$S$9,16,FALSE()))</f>
        <v>1</v>
      </c>
      <c r="M17" s="62">
        <f>IF($C17="","",VLOOKUP($E17,'📊 SECCIONES'!$B$4:$S$9,17,FALSE()))</f>
        <v>1</v>
      </c>
      <c r="N17" s="62">
        <f>IF($C17="","",VLOOKUP($E17,'📊 SECCIONES'!$B$4:$S$9,18,FALSE()))</f>
        <v>0</v>
      </c>
      <c r="O17" s="63">
        <f>IF($C17="","",ROUND('⚙️ SUPUESTOS'!$C$21*K17+'⚙️ SUPUESTOS'!$C$22*L17+'⚙️ SUPUESTOS'!$C$23*M17+'⚙️ SUPUESTOS'!$C$24*N17,4))</f>
        <v>0.63549999999999995</v>
      </c>
      <c r="P17" s="64">
        <f>IF($C17="","",VLOOKUP($E17,'📊 SECCIONES'!$B$4:$S$9,7,FALSE()))</f>
        <v>66.510000000000005</v>
      </c>
      <c r="Q17" s="65">
        <f>IF($C17="","",VLOOKUP($E17,'📊 SECCIONES'!$B$4:$S$9,8,FALSE()))</f>
        <v>17450</v>
      </c>
      <c r="R17" s="64">
        <f>IF($C17="","",VLOOKUP($E17,'📊 SECCIONES'!$B$4:$S$9,10,FALSE()))</f>
        <v>10.6</v>
      </c>
      <c r="S17" s="61">
        <f>IF('📇 INVENTARIO'!K18="","",'📇 INVENTARIO'!K18)</f>
        <v>3</v>
      </c>
      <c r="T17" s="66" t="str">
        <f t="shared" si="0"/>
        <v>Objetivo: alcanzar calificación C. Actual: Cal.G. SATE integral + cubierta + carpinterías triple + aerotermia + instalación fotovoltaica</v>
      </c>
      <c r="U17" s="59" t="str">
        <f t="shared" si="1"/>
        <v>—</v>
      </c>
      <c r="V17" s="67">
        <f>IF('📇 INVENTARIO'!L18="","",'📇 INVENTARIO'!L18)</f>
        <v>95.3</v>
      </c>
      <c r="W17" s="64">
        <f>IF($C17="","",V17*'⚙️ SUPUESTOS'!$C$8*'⚙️ SUPUESTOS'!$C$9)</f>
        <v>20.012999999999998</v>
      </c>
      <c r="X17" s="67">
        <f>IF('📇 INVENTARIO'!N18="","",'📇 INVENTARIO'!N18)</f>
        <v>1483</v>
      </c>
      <c r="Y17" s="67">
        <f>IF($C17="","",W17*X17*'⚙️ SUPUESTOS'!$C$7)</f>
        <v>26711.3511</v>
      </c>
      <c r="Z17" s="65">
        <f>IF($C17="","",W17*'⚙️ SUPUESTOS'!$C$10)</f>
        <v>26717.354999999996</v>
      </c>
      <c r="AA17" s="65">
        <f>IF($C17="","",Y17*('⚙️ SUPUESTOS'!$C$12*'⚙️ SUPUESTOS'!$C$11+(1-'⚙️ SUPUESTOS'!$C$12)*'⚙️ SUPUESTOS'!$C$13))</f>
        <v>1821.7141450200004</v>
      </c>
      <c r="AB17" s="65">
        <f>IF($C17="","",IF(Y17&gt;0,ROUND(Y17*'⚙️ SUPUESTOS'!$C$12*'⚙️ SUPUESTOS'!$C$11,0),""))</f>
        <v>668</v>
      </c>
      <c r="AC17" s="65">
        <f>IF($C17="","",IF(Y17&gt;0,ROUND(Y17*(1-'⚙️ SUPUESTOS'!$C$12)*'⚙️ SUPUESTOS'!$C$13,0),""))</f>
        <v>1154</v>
      </c>
      <c r="AD17" s="65">
        <f t="shared" si="2"/>
        <v>18825</v>
      </c>
      <c r="AE17" s="64">
        <f t="shared" si="3"/>
        <v>14.666052340339416</v>
      </c>
      <c r="AF17" s="59" t="str">
        <f>IF($C17="","",IF(AE17="","—",IF(AE17&lt;='⚙️ SUPUESTOS'!$C$32,"✔ Muy recomendable",IF(AE17&lt;='⚙️ SUPUESTOS'!$C$33,"✔ Recomendable","Valorar"))))</f>
        <v>✔ Muy recomendable</v>
      </c>
      <c r="AG17" s="68">
        <f>IF('📇 INVENTARIO'!O18="","",'📇 INVENTARIO'!O18)</f>
        <v>41.649320000000003</v>
      </c>
      <c r="AH17" s="68">
        <f>IF('📇 INVENTARIO'!P18="","",'📇 INVENTARIO'!P18)</f>
        <v>-4.7106500000000002</v>
      </c>
    </row>
    <row r="18" spans="1:34" ht="45" customHeight="1">
      <c r="A18" s="58">
        <f>IF($C18="","",RANK(O18,$O$3:$O$265,0)+COUNTIF($O$3:O18,O18)-1)</f>
        <v>16</v>
      </c>
      <c r="B18" s="59" t="str">
        <f>IF($C18="","",IF(A18&lt;='⚙️ SUPUESTOS'!$C$29,"Fase 1",IF(A18&lt;='⚙️ SUPUESTOS'!$C$30,"Fase 2","Fase 3")))</f>
        <v>Fase 1</v>
      </c>
      <c r="C18" s="60" t="str">
        <f>IF('📇 INVENTARIO'!B20="","",'📇 INVENTARIO'!B20)</f>
        <v>C/ Oropéndola, 4</v>
      </c>
      <c r="D18" s="59" t="str">
        <f>IF('📇 INVENTARIO'!C20="","",'📇 INVENTARIO'!C20)</f>
        <v>7825407UM5172F</v>
      </c>
      <c r="E18" s="59" t="str">
        <f>IF('📇 INVENTARIO'!D20="","",'📇 INVENTARIO'!D20)</f>
        <v>4718606023</v>
      </c>
      <c r="F18" s="59" t="str">
        <f>IF('📇 INVENTARIO'!F20="","",'📇 INVENTARIO'!F20)</f>
        <v>G</v>
      </c>
      <c r="G18" s="61">
        <f>IF('📇 INVENTARIO'!G20="","",'📇 INVENTARIO'!G20)</f>
        <v>569</v>
      </c>
      <c r="H18" s="61">
        <f>IF('📇 INVENTARIO'!H20="","",'📇 INVENTARIO'!H20)</f>
        <v>113</v>
      </c>
      <c r="I18" s="61">
        <f>IF('📇 INVENTARIO'!I20="","",'📇 INVENTARIO'!I20)</f>
        <v>251.8</v>
      </c>
      <c r="J18" s="61">
        <f>IF('📇 INVENTARIO'!J20="","",'📇 INVENTARIO'!J20)</f>
        <v>1965</v>
      </c>
      <c r="K18" s="62">
        <f>IF($C18="","",(G18-'⚙️ SUPUESTOS'!$C$20)/('⚙️ SUPUESTOS'!$C$25-'⚙️ SUPUESTOS'!$C$20))</f>
        <v>0.73321858864027534</v>
      </c>
      <c r="L18" s="62">
        <f>IF($C18="","",VLOOKUP($E18,'📊 SECCIONES'!$B$4:$S$9,16,FALSE()))</f>
        <v>0.54128061278831963</v>
      </c>
      <c r="M18" s="62">
        <f>IF($C18="","",VLOOKUP($E18,'📊 SECCIONES'!$B$4:$S$9,17,FALSE()))</f>
        <v>0.59585492227979275</v>
      </c>
      <c r="N18" s="62">
        <f>IF($C18="","",VLOOKUP($E18,'📊 SECCIONES'!$B$4:$S$9,18,FALSE()))</f>
        <v>0.28636363636363632</v>
      </c>
      <c r="O18" s="63">
        <f>IF($C18="","",ROUND('⚙️ SUPUESTOS'!$C$21*K18+'⚙️ SUPUESTOS'!$C$22*L18+'⚙️ SUPUESTOS'!$C$23*M18+'⚙️ SUPUESTOS'!$C$24*N18,4))</f>
        <v>0.63149999999999995</v>
      </c>
      <c r="P18" s="64">
        <f>IF($C18="","",VLOOKUP($E18,'📊 SECCIONES'!$B$4:$S$9,7,FALSE()))</f>
        <v>39.409999999999997</v>
      </c>
      <c r="Q18" s="65">
        <f>IF($C18="","",VLOOKUP($E18,'📊 SECCIONES'!$B$4:$S$9,8,FALSE()))</f>
        <v>22486</v>
      </c>
      <c r="R18" s="64">
        <f>IF($C18="","",VLOOKUP($E18,'📊 SECCIONES'!$B$4:$S$9,10,FALSE()))</f>
        <v>16.899999999999999</v>
      </c>
      <c r="S18" s="61">
        <f>IF('📇 INVENTARIO'!K20="","",'📇 INVENTARIO'!K20)</f>
        <v>3</v>
      </c>
      <c r="T18" s="66" t="str">
        <f t="shared" si="0"/>
        <v>Objetivo: alcanzar calificación C. Actual: Cal.G. SATE integral + cubierta + carpinterías triple + aerotermia + instalación fotovoltaica</v>
      </c>
      <c r="U18" s="59" t="str">
        <f t="shared" si="1"/>
        <v>—</v>
      </c>
      <c r="V18" s="67">
        <f>IF('📇 INVENTARIO'!L20="","",'📇 INVENTARIO'!L20)</f>
        <v>100.5</v>
      </c>
      <c r="W18" s="64">
        <f>IF($C18="","",V18*'⚙️ SUPUESTOS'!$C$8*'⚙️ SUPUESTOS'!$C$9)</f>
        <v>21.105</v>
      </c>
      <c r="X18" s="67">
        <f>IF('📇 INVENTARIO'!N20="","",'📇 INVENTARIO'!N20)</f>
        <v>1293</v>
      </c>
      <c r="Y18" s="67">
        <f>IF($C18="","",W18*X18*'⚙️ SUPUESTOS'!$C$7)</f>
        <v>24559.888500000001</v>
      </c>
      <c r="Z18" s="65">
        <f>IF($C18="","",W18*'⚙️ SUPUESTOS'!$C$10)</f>
        <v>28175.174999999999</v>
      </c>
      <c r="AA18" s="65">
        <f>IF($C18="","",Y18*('⚙️ SUPUESTOS'!$C$12*'⚙️ SUPUESTOS'!$C$11+(1-'⚙️ SUPUESTOS'!$C$12)*'⚙️ SUPUESTOS'!$C$13))</f>
        <v>1674.9843957000003</v>
      </c>
      <c r="AB18" s="65">
        <f>IF($C18="","",IF(Y18&gt;0,ROUND(Y18*'⚙️ SUPUESTOS'!$C$12*'⚙️ SUPUESTOS'!$C$11,0),""))</f>
        <v>614</v>
      </c>
      <c r="AC18" s="65">
        <f>IF($C18="","",IF(Y18&gt;0,ROUND(Y18*(1-'⚙️ SUPUESTOS'!$C$12)*'⚙️ SUPUESTOS'!$C$13,0),""))</f>
        <v>1061</v>
      </c>
      <c r="AD18" s="76">
        <f t="shared" si="2"/>
        <v>13699</v>
      </c>
      <c r="AE18" s="75">
        <f t="shared" si="3"/>
        <v>16.82115670589587</v>
      </c>
      <c r="AF18" s="70" t="str">
        <f>IF($C18="","",IF(AE18="","—",IF(AE18&lt;='⚙️ SUPUESTOS'!$C$32,"✔ Muy recomendable",IF(AE18&lt;='⚙️ SUPUESTOS'!$C$33,"✔ Recomendable","Valorar"))))</f>
        <v>Valorar</v>
      </c>
      <c r="AG18" s="79">
        <f>IF('📇 INVENTARIO'!O19="","",'📇 INVENTARIO'!O19)</f>
        <v>41.648829999999997</v>
      </c>
      <c r="AH18" s="79">
        <f>IF('📇 INVENTARIO'!P19="","",'📇 INVENTARIO'!P19)</f>
        <v>-4.7100799999999996</v>
      </c>
    </row>
    <row r="19" spans="1:34" ht="45" customHeight="1">
      <c r="A19" s="69">
        <f>IF($C19="","",RANK(O19,$O$3:$O$265,0)+COUNTIF($O$3:O19,O19)-1)</f>
        <v>17</v>
      </c>
      <c r="B19" s="70" t="str">
        <f>IF($C19="","",IF(A19&lt;='⚙️ SUPUESTOS'!$C$29,"Fase 1",IF(A19&lt;='⚙️ SUPUESTOS'!$C$30,"Fase 2","Fase 3")))</f>
        <v>Fase 1</v>
      </c>
      <c r="C19" s="71" t="str">
        <f>IF('📇 INVENTARIO'!B19="","",'📇 INVENTARIO'!B19)</f>
        <v>C/ Zorzal, 14</v>
      </c>
      <c r="D19" s="70" t="str">
        <f>IF('📇 INVENTARIO'!C19="","",'📇 INVENTARIO'!C19)</f>
        <v>7724221UM5172D</v>
      </c>
      <c r="E19" s="70" t="str">
        <f>IF('📇 INVENTARIO'!D19="","",'📇 INVENTARIO'!D19)</f>
        <v>4718606026</v>
      </c>
      <c r="F19" s="70" t="str">
        <f>IF('📇 INVENTARIO'!F19="","",'📇 INVENTARIO'!F19)</f>
        <v>G</v>
      </c>
      <c r="G19" s="72">
        <f>IF('📇 INVENTARIO'!G19="","",'📇 INVENTARIO'!G19)</f>
        <v>429</v>
      </c>
      <c r="H19" s="72">
        <f>IF('📇 INVENTARIO'!H19="","",'📇 INVENTARIO'!H19)</f>
        <v>87</v>
      </c>
      <c r="I19" s="72">
        <f>IF('📇 INVENTARIO'!I19="","",'📇 INVENTARIO'!I19)</f>
        <v>201.4</v>
      </c>
      <c r="J19" s="72">
        <f>IF('📇 INVENTARIO'!J19="","",'📇 INVENTARIO'!J19)</f>
        <v>1965</v>
      </c>
      <c r="K19" s="73">
        <f>IF($C19="","",(G19-'⚙️ SUPUESTOS'!$C$20)/('⚙️ SUPUESTOS'!$C$25-'⚙️ SUPUESTOS'!$C$20))</f>
        <v>0.49225473321858865</v>
      </c>
      <c r="L19" s="73">
        <f>IF($C19="","",VLOOKUP($E19,'📊 SECCIONES'!$B$4:$S$9,16,FALSE()))</f>
        <v>1</v>
      </c>
      <c r="M19" s="73">
        <f>IF($C19="","",VLOOKUP($E19,'📊 SECCIONES'!$B$4:$S$9,17,FALSE()))</f>
        <v>1</v>
      </c>
      <c r="N19" s="73">
        <f>IF($C19="","",VLOOKUP($E19,'📊 SECCIONES'!$B$4:$S$9,18,FALSE()))</f>
        <v>0</v>
      </c>
      <c r="O19" s="74">
        <f>IF($C19="","",ROUND('⚙️ SUPUESTOS'!$C$21*K19+'⚙️ SUPUESTOS'!$C$22*L19+'⚙️ SUPUESTOS'!$C$23*M19+'⚙️ SUPUESTOS'!$C$24*N19,4))</f>
        <v>0.63070000000000004</v>
      </c>
      <c r="P19" s="75">
        <f>IF($C19="","",VLOOKUP($E19,'📊 SECCIONES'!$B$4:$S$9,7,FALSE()))</f>
        <v>66.510000000000005</v>
      </c>
      <c r="Q19" s="76">
        <f>IF($C19="","",VLOOKUP($E19,'📊 SECCIONES'!$B$4:$S$9,8,FALSE()))</f>
        <v>17450</v>
      </c>
      <c r="R19" s="75">
        <f>IF($C19="","",VLOOKUP($E19,'📊 SECCIONES'!$B$4:$S$9,10,FALSE()))</f>
        <v>10.6</v>
      </c>
      <c r="S19" s="72">
        <f>IF('📇 INVENTARIO'!K19="","",'📇 INVENTARIO'!K19)</f>
        <v>3</v>
      </c>
      <c r="T19" s="77" t="str">
        <f t="shared" si="0"/>
        <v>Objetivo: alcanzar calificación C. Actual: Cal.G. SATE integral + cubierta + carpinterías triple + aerotermia + instalación fotovoltaica</v>
      </c>
      <c r="U19" s="70" t="str">
        <f t="shared" si="1"/>
        <v>—</v>
      </c>
      <c r="V19" s="78">
        <f>IF('📇 INVENTARIO'!L19="","",'📇 INVENTARIO'!L19)</f>
        <v>102.9</v>
      </c>
      <c r="W19" s="75">
        <f>IF($C19="","",V19*'⚙️ SUPUESTOS'!$C$8*'⚙️ SUPUESTOS'!$C$9)</f>
        <v>21.609000000000002</v>
      </c>
      <c r="X19" s="78">
        <f>IF('📇 INVENTARIO'!N19="","",'📇 INVENTARIO'!N19)</f>
        <v>1525</v>
      </c>
      <c r="Y19" s="78">
        <f>IF($C19="","",W19*X19*'⚙️ SUPUESTOS'!$C$7)</f>
        <v>29658.352500000005</v>
      </c>
      <c r="Z19" s="76">
        <f>IF($C19="","",W19*'⚙️ SUPUESTOS'!$C$10)</f>
        <v>28848.015000000003</v>
      </c>
      <c r="AA19" s="76">
        <f>IF($C19="","",Y19*('⚙️ SUPUESTOS'!$C$12*'⚙️ SUPUESTOS'!$C$11+(1-'⚙️ SUPUESTOS'!$C$12)*'⚙️ SUPUESTOS'!$C$13))</f>
        <v>2022.6996405000007</v>
      </c>
      <c r="AB19" s="76">
        <f>IF($C19="","",IF(Y19&gt;0,ROUND(Y19*'⚙️ SUPUESTOS'!$C$12*'⚙️ SUPUESTOS'!$C$11,0),""))</f>
        <v>741</v>
      </c>
      <c r="AC19" s="76">
        <f>IF($C19="","",IF(Y19&gt;0,ROUND(Y19*(1-'⚙️ SUPUESTOS'!$C$12)*'⚙️ SUPUESTOS'!$C$13,0),""))</f>
        <v>1281</v>
      </c>
      <c r="AD19" s="65">
        <f t="shared" si="2"/>
        <v>21719</v>
      </c>
      <c r="AE19" s="64">
        <f t="shared" si="3"/>
        <v>14.262134833261218</v>
      </c>
      <c r="AF19" s="59" t="str">
        <f>IF($C19="","",IF(AE19="","—",IF(AE19&lt;='⚙️ SUPUESTOS'!$C$32,"✔ Muy recomendable",IF(AE19&lt;='⚙️ SUPUESTOS'!$C$33,"✔ Recomendable","Valorar"))))</f>
        <v>✔ Muy recomendable</v>
      </c>
      <c r="AG19" s="68">
        <f>IF('📇 INVENTARIO'!O20="","",'📇 INVENTARIO'!O20)</f>
        <v>41.6496</v>
      </c>
      <c r="AH19" s="68">
        <f>IF('📇 INVENTARIO'!P20="","",'📇 INVENTARIO'!P20)</f>
        <v>-4.7084599999999996</v>
      </c>
    </row>
    <row r="20" spans="1:34" ht="45" customHeight="1">
      <c r="A20" s="69">
        <f>IF($C20="","",RANK(O20,$O$3:$O$265,0)+COUNTIF($O$3:O20,O20)-1)</f>
        <v>18</v>
      </c>
      <c r="B20" s="70" t="str">
        <f>IF($C20="","",IF(A20&lt;='⚙️ SUPUESTOS'!$C$29,"Fase 1",IF(A20&lt;='⚙️ SUPUESTOS'!$C$30,"Fase 2","Fase 3")))</f>
        <v>Fase 1</v>
      </c>
      <c r="C20" s="71" t="str">
        <f>IF('📇 INVENTARIO'!B21="","",'📇 INVENTARIO'!B21)</f>
        <v>C/ Zorzal, 16</v>
      </c>
      <c r="D20" s="70" t="str">
        <f>IF('📇 INVENTARIO'!C21="","",'📇 INVENTARIO'!C21)</f>
        <v>7724205UM5172D</v>
      </c>
      <c r="E20" s="70" t="str">
        <f>IF('📇 INVENTARIO'!D21="","",'📇 INVENTARIO'!D21)</f>
        <v>4718606026</v>
      </c>
      <c r="F20" s="70" t="str">
        <f>IF('📇 INVENTARIO'!F21="","",'📇 INVENTARIO'!F21)</f>
        <v>G</v>
      </c>
      <c r="G20" s="72">
        <f>IF('📇 INVENTARIO'!G21="","",'📇 INVENTARIO'!G21)</f>
        <v>419</v>
      </c>
      <c r="H20" s="72">
        <f>IF('📇 INVENTARIO'!H21="","",'📇 INVENTARIO'!H21)</f>
        <v>88.5</v>
      </c>
      <c r="I20" s="72">
        <f>IF('📇 INVENTARIO'!I21="","",'📇 INVENTARIO'!I21)</f>
        <v>232.2</v>
      </c>
      <c r="J20" s="72">
        <f>IF('📇 INVENTARIO'!J21="","",'📇 INVENTARIO'!J21)</f>
        <v>1965</v>
      </c>
      <c r="K20" s="73">
        <f>IF($C20="","",(G20-'⚙️ SUPUESTOS'!$C$20)/('⚙️ SUPUESTOS'!$C$25-'⚙️ SUPUESTOS'!$C$20))</f>
        <v>0.47504302925989672</v>
      </c>
      <c r="L20" s="73">
        <f>IF($C20="","",VLOOKUP($E20,'📊 SECCIONES'!$B$4:$S$9,16,FALSE()))</f>
        <v>1</v>
      </c>
      <c r="M20" s="73">
        <f>IF($C20="","",VLOOKUP($E20,'📊 SECCIONES'!$B$4:$S$9,17,FALSE()))</f>
        <v>1</v>
      </c>
      <c r="N20" s="73">
        <f>IF($C20="","",VLOOKUP($E20,'📊 SECCIONES'!$B$4:$S$9,18,FALSE()))</f>
        <v>0</v>
      </c>
      <c r="O20" s="74">
        <f>IF($C20="","",ROUND('⚙️ SUPUESTOS'!$C$21*K20+'⚙️ SUPUESTOS'!$C$22*L20+'⚙️ SUPUESTOS'!$C$23*M20+'⚙️ SUPUESTOS'!$C$24*N20,4))</f>
        <v>0.62129999999999996</v>
      </c>
      <c r="P20" s="75">
        <f>IF($C20="","",VLOOKUP($E20,'📊 SECCIONES'!$B$4:$S$9,7,FALSE()))</f>
        <v>66.510000000000005</v>
      </c>
      <c r="Q20" s="76">
        <f>IF($C20="","",VLOOKUP($E20,'📊 SECCIONES'!$B$4:$S$9,8,FALSE()))</f>
        <v>17450</v>
      </c>
      <c r="R20" s="75">
        <f>IF($C20="","",VLOOKUP($E20,'📊 SECCIONES'!$B$4:$S$9,10,FALSE()))</f>
        <v>10.6</v>
      </c>
      <c r="S20" s="72">
        <f>IF('📇 INVENTARIO'!K21="","",'📇 INVENTARIO'!K21)</f>
        <v>3</v>
      </c>
      <c r="T20" s="77" t="str">
        <f t="shared" si="0"/>
        <v>Objetivo: alcanzar calificación C. Actual: Cal.G. SATE integral + cubierta + carpinterías triple + aerotermia + instalación fotovoltaica</v>
      </c>
      <c r="U20" s="70" t="str">
        <f t="shared" si="1"/>
        <v>—</v>
      </c>
      <c r="V20" s="78">
        <f>IF('📇 INVENTARIO'!L21="","",'📇 INVENTARIO'!L21)</f>
        <v>100.2</v>
      </c>
      <c r="W20" s="75">
        <f>IF($C20="","",V20*'⚙️ SUPUESTOS'!$C$8*'⚙️ SUPUESTOS'!$C$9)</f>
        <v>21.042000000000002</v>
      </c>
      <c r="X20" s="78">
        <f>IF('📇 INVENTARIO'!N21="","",'📇 INVENTARIO'!N21)</f>
        <v>1440</v>
      </c>
      <c r="Y20" s="78">
        <f>IF($C20="","",W20*X20*'⚙️ SUPUESTOS'!$C$7)</f>
        <v>27270.432000000004</v>
      </c>
      <c r="Z20" s="76">
        <f>IF($C20="","",W20*'⚙️ SUPUESTOS'!$C$10)</f>
        <v>28091.070000000003</v>
      </c>
      <c r="AA20" s="76">
        <f>IF($C20="","",Y20*('⚙️ SUPUESTOS'!$C$12*'⚙️ SUPUESTOS'!$C$11+(1-'⚙️ SUPUESTOS'!$C$12)*'⚙️ SUPUESTOS'!$C$13))</f>
        <v>1859.8434624000006</v>
      </c>
      <c r="AB20" s="76">
        <f>IF($C20="","",IF(Y20&gt;0,ROUND(Y20*'⚙️ SUPUESTOS'!$C$12*'⚙️ SUPUESTOS'!$C$11,0),""))</f>
        <v>682</v>
      </c>
      <c r="AC20" s="76">
        <f>IF($C20="","",IF(Y20&gt;0,ROUND(Y20*(1-'⚙️ SUPUESTOS'!$C$12)*'⚙️ SUPUESTOS'!$C$13,0),""))</f>
        <v>1178</v>
      </c>
      <c r="AD20" s="76">
        <f t="shared" si="2"/>
        <v>18405</v>
      </c>
      <c r="AE20" s="75">
        <f t="shared" si="3"/>
        <v>15.103996958835666</v>
      </c>
      <c r="AF20" s="70" t="str">
        <f>IF($C20="","",IF(AE20="","—",IF(AE20&lt;='⚙️ SUPUESTOS'!$C$32,"✔ Muy recomendable",IF(AE20&lt;='⚙️ SUPUESTOS'!$C$33,"✔ Recomendable","Valorar"))))</f>
        <v>✔ Recomendable</v>
      </c>
      <c r="AG20" s="79">
        <f>IF('📇 INVENTARIO'!O21="","",'📇 INVENTARIO'!O21)</f>
        <v>41.6492</v>
      </c>
      <c r="AH20" s="79">
        <f>IF('📇 INVENTARIO'!P21="","",'📇 INVENTARIO'!P21)</f>
        <v>-4.7097800000000003</v>
      </c>
    </row>
    <row r="21" spans="1:34" ht="45" customHeight="1">
      <c r="A21" s="58">
        <f>IF($C21="","",RANK(O21,$O$3:$O$265,0)+COUNTIF($O$3:O21,O21)-1)</f>
        <v>19</v>
      </c>
      <c r="B21" s="59" t="str">
        <f>IF($C21="","",IF(A21&lt;='⚙️ SUPUESTOS'!$C$29,"Fase 1",IF(A21&lt;='⚙️ SUPUESTOS'!$C$30,"Fase 2","Fase 3")))</f>
        <v>Fase 1</v>
      </c>
      <c r="C21" s="60" t="str">
        <f>IF('📇 INVENTARIO'!B22="","",'📇 INVENTARIO'!B22)</f>
        <v>C/ Periquito, 4</v>
      </c>
      <c r="D21" s="59" t="str">
        <f>IF('📇 INVENTARIO'!C22="","",'📇 INVENTARIO'!C22)</f>
        <v>7724204UM5172D</v>
      </c>
      <c r="E21" s="59" t="str">
        <f>IF('📇 INVENTARIO'!D22="","",'📇 INVENTARIO'!D22)</f>
        <v>4718606026</v>
      </c>
      <c r="F21" s="59" t="str">
        <f>IF('📇 INVENTARIO'!F22="","",'📇 INVENTARIO'!F22)</f>
        <v>G</v>
      </c>
      <c r="G21" s="61">
        <f>IF('📇 INVENTARIO'!G22="","",'📇 INVENTARIO'!G22)</f>
        <v>416</v>
      </c>
      <c r="H21" s="61">
        <f>IF('📇 INVENTARIO'!H22="","",'📇 INVENTARIO'!H22)</f>
        <v>70</v>
      </c>
      <c r="I21" s="61">
        <f>IF('📇 INVENTARIO'!I22="","",'📇 INVENTARIO'!I22)</f>
        <v>168.5</v>
      </c>
      <c r="J21" s="61">
        <f>IF('📇 INVENTARIO'!J22="","",'📇 INVENTARIO'!J22)</f>
        <v>1965</v>
      </c>
      <c r="K21" s="62">
        <f>IF($C21="","",(G21-'⚙️ SUPUESTOS'!$C$20)/('⚙️ SUPUESTOS'!$C$25-'⚙️ SUPUESTOS'!$C$20))</f>
        <v>0.46987951807228917</v>
      </c>
      <c r="L21" s="62">
        <f>IF($C21="","",VLOOKUP($E21,'📊 SECCIONES'!$B$4:$S$9,16,FALSE()))</f>
        <v>1</v>
      </c>
      <c r="M21" s="62">
        <f>IF($C21="","",VLOOKUP($E21,'📊 SECCIONES'!$B$4:$S$9,17,FALSE()))</f>
        <v>1</v>
      </c>
      <c r="N21" s="62">
        <f>IF($C21="","",VLOOKUP($E21,'📊 SECCIONES'!$B$4:$S$9,18,FALSE()))</f>
        <v>0</v>
      </c>
      <c r="O21" s="63">
        <f>IF($C21="","",ROUND('⚙️ SUPUESTOS'!$C$21*K21+'⚙️ SUPUESTOS'!$C$22*L21+'⚙️ SUPUESTOS'!$C$23*M21+'⚙️ SUPUESTOS'!$C$24*N21,4))</f>
        <v>0.61839999999999995</v>
      </c>
      <c r="P21" s="64">
        <f>IF($C21="","",VLOOKUP($E21,'📊 SECCIONES'!$B$4:$S$9,7,FALSE()))</f>
        <v>66.510000000000005</v>
      </c>
      <c r="Q21" s="65">
        <f>IF($C21="","",VLOOKUP($E21,'📊 SECCIONES'!$B$4:$S$9,8,FALSE()))</f>
        <v>17450</v>
      </c>
      <c r="R21" s="64">
        <f>IF($C21="","",VLOOKUP($E21,'📊 SECCIONES'!$B$4:$S$9,10,FALSE()))</f>
        <v>10.6</v>
      </c>
      <c r="S21" s="61">
        <f>IF('📇 INVENTARIO'!K22="","",'📇 INVENTARIO'!K22)</f>
        <v>3</v>
      </c>
      <c r="T21" s="66" t="str">
        <f t="shared" si="0"/>
        <v>Objetivo: alcanzar calificación C. Actual: Cal.G. SATE integral + cubierta + carpinterías triple + aerotermia + instalación fotovoltaica</v>
      </c>
      <c r="U21" s="59" t="str">
        <f t="shared" si="1"/>
        <v>—</v>
      </c>
      <c r="V21" s="67">
        <f>IF('📇 INVENTARIO'!L22="","",'📇 INVENTARIO'!L22)</f>
        <v>112.4</v>
      </c>
      <c r="W21" s="64">
        <f>IF($C21="","",V21*'⚙️ SUPUESTOS'!$C$8*'⚙️ SUPUESTOS'!$C$9)</f>
        <v>23.603999999999999</v>
      </c>
      <c r="X21" s="67">
        <f>IF('📇 INVENTARIO'!N22="","",'📇 INVENTARIO'!N22)</f>
        <v>1414</v>
      </c>
      <c r="Y21" s="67">
        <f>IF($C21="","",W21*X21*'⚙️ SUPUESTOS'!$C$7)</f>
        <v>30038.450399999998</v>
      </c>
      <c r="Z21" s="65">
        <f>IF($C21="","",W21*'⚙️ SUPUESTOS'!$C$10)</f>
        <v>31511.34</v>
      </c>
      <c r="AA21" s="65">
        <f>IF($C21="","",Y21*('⚙️ SUPUESTOS'!$C$12*'⚙️ SUPUESTOS'!$C$11+(1-'⚙️ SUPUESTOS'!$C$12)*'⚙️ SUPUESTOS'!$C$13))</f>
        <v>2048.6223172800001</v>
      </c>
      <c r="AB21" s="65">
        <f>IF($C21="","",IF(Y21&gt;0,ROUND(Y21*'⚙️ SUPUESTOS'!$C$12*'⚙️ SUPUESTOS'!$C$11,0),""))</f>
        <v>751</v>
      </c>
      <c r="AC21" s="65">
        <f>IF($C21="","",IF(Y21&gt;0,ROUND(Y21*(1-'⚙️ SUPUESTOS'!$C$12)*'⚙️ SUPUESTOS'!$C$13,0),""))</f>
        <v>1298</v>
      </c>
      <c r="AD21" s="65">
        <f t="shared" si="2"/>
        <v>19704</v>
      </c>
      <c r="AE21" s="64">
        <f t="shared" si="3"/>
        <v>15.381722504047639</v>
      </c>
      <c r="AF21" s="59" t="str">
        <f>IF($C21="","",IF(AE21="","—",IF(AE21&lt;='⚙️ SUPUESTOS'!$C$32,"✔ Muy recomendable",IF(AE21&lt;='⚙️ SUPUESTOS'!$C$33,"✔ Recomendable","Valorar"))))</f>
        <v>✔ Recomendable</v>
      </c>
      <c r="AG21" s="68">
        <f>IF('📇 INVENTARIO'!O22="","",'📇 INVENTARIO'!O22)</f>
        <v>41.649349999999998</v>
      </c>
      <c r="AH21" s="68">
        <f>IF('📇 INVENTARIO'!P22="","",'📇 INVENTARIO'!P22)</f>
        <v>-4.7098899999999997</v>
      </c>
    </row>
    <row r="22" spans="1:34" ht="45" customHeight="1">
      <c r="A22" s="69">
        <f>IF($C22="","",RANK(O22,$O$3:$O$265,0)+COUNTIF($O$3:O22,O22)-1)</f>
        <v>20</v>
      </c>
      <c r="B22" s="70" t="str">
        <f>IF($C22="","",IF(A22&lt;='⚙️ SUPUESTOS'!$C$29,"Fase 1",IF(A22&lt;='⚙️ SUPUESTOS'!$C$30,"Fase 2","Fase 3")))</f>
        <v>Fase 1</v>
      </c>
      <c r="C22" s="71" t="str">
        <f>IF('📇 INVENTARIO'!B23="","",'📇 INVENTARIO'!B23)</f>
        <v>C/ Águila, 25</v>
      </c>
      <c r="D22" s="70" t="str">
        <f>IF('📇 INVENTARIO'!C23="","",'📇 INVENTARIO'!C23)</f>
        <v>7724209UM5172D</v>
      </c>
      <c r="E22" s="70" t="str">
        <f>IF('📇 INVENTARIO'!D23="","",'📇 INVENTARIO'!D23)</f>
        <v>4718606026</v>
      </c>
      <c r="F22" s="70" t="str">
        <f>IF('📇 INVENTARIO'!F23="","",'📇 INVENTARIO'!F23)</f>
        <v>G</v>
      </c>
      <c r="G22" s="72">
        <f>IF('📇 INVENTARIO'!G23="","",'📇 INVENTARIO'!G23)</f>
        <v>402</v>
      </c>
      <c r="H22" s="72">
        <f>IF('📇 INVENTARIO'!H23="","",'📇 INVENTARIO'!H23)</f>
        <v>83</v>
      </c>
      <c r="I22" s="72">
        <f>IF('📇 INVENTARIO'!I23="","",'📇 INVENTARIO'!I23)</f>
        <v>277.89999999999998</v>
      </c>
      <c r="J22" s="72">
        <f>IF('📇 INVENTARIO'!J23="","",'📇 INVENTARIO'!J23)</f>
        <v>1965</v>
      </c>
      <c r="K22" s="73">
        <f>IF($C22="","",(G22-'⚙️ SUPUESTOS'!$C$20)/('⚙️ SUPUESTOS'!$C$25-'⚙️ SUPUESTOS'!$C$20))</f>
        <v>0.44578313253012047</v>
      </c>
      <c r="L22" s="73">
        <f>IF($C22="","",VLOOKUP($E22,'📊 SECCIONES'!$B$4:$S$9,16,FALSE()))</f>
        <v>1</v>
      </c>
      <c r="M22" s="73">
        <f>IF($C22="","",VLOOKUP($E22,'📊 SECCIONES'!$B$4:$S$9,17,FALSE()))</f>
        <v>1</v>
      </c>
      <c r="N22" s="73">
        <f>IF($C22="","",VLOOKUP($E22,'📊 SECCIONES'!$B$4:$S$9,18,FALSE()))</f>
        <v>0</v>
      </c>
      <c r="O22" s="74">
        <f>IF($C22="","",ROUND('⚙️ SUPUESTOS'!$C$21*K22+'⚙️ SUPUESTOS'!$C$22*L22+'⚙️ SUPUESTOS'!$C$23*M22+'⚙️ SUPUESTOS'!$C$24*N22,4))</f>
        <v>0.60519999999999996</v>
      </c>
      <c r="P22" s="75">
        <f>IF($C22="","",VLOOKUP($E22,'📊 SECCIONES'!$B$4:$S$9,7,FALSE()))</f>
        <v>66.510000000000005</v>
      </c>
      <c r="Q22" s="76">
        <f>IF($C22="","",VLOOKUP($E22,'📊 SECCIONES'!$B$4:$S$9,8,FALSE()))</f>
        <v>17450</v>
      </c>
      <c r="R22" s="75">
        <f>IF($C22="","",VLOOKUP($E22,'📊 SECCIONES'!$B$4:$S$9,10,FALSE()))</f>
        <v>10.6</v>
      </c>
      <c r="S22" s="72">
        <f>IF('📇 INVENTARIO'!K23="","",'📇 INVENTARIO'!K23)</f>
        <v>3</v>
      </c>
      <c r="T22" s="77" t="str">
        <f t="shared" si="0"/>
        <v>Objetivo: alcanzar calificación C. Actual: Cal.G. SATE integral + cubierta + carpinterías triple + aerotermia + instalación fotovoltaica</v>
      </c>
      <c r="U22" s="70" t="str">
        <f t="shared" si="1"/>
        <v>—</v>
      </c>
      <c r="V22" s="78">
        <f>IF('📇 INVENTARIO'!L23="","",'📇 INVENTARIO'!L23)</f>
        <v>100.6</v>
      </c>
      <c r="W22" s="75">
        <f>IF($C22="","",V22*'⚙️ SUPUESTOS'!$C$8*'⚙️ SUPUESTOS'!$C$9)</f>
        <v>21.125999999999998</v>
      </c>
      <c r="X22" s="78">
        <f>IF('📇 INVENTARIO'!N23="","",'📇 INVENTARIO'!N23)</f>
        <v>1458</v>
      </c>
      <c r="Y22" s="78">
        <f>IF($C22="","",W22*X22*'⚙️ SUPUESTOS'!$C$7)</f>
        <v>27721.537199999995</v>
      </c>
      <c r="Z22" s="76">
        <f>IF($C22="","",W22*'⚙️ SUPUESTOS'!$C$10)</f>
        <v>28203.209999999995</v>
      </c>
      <c r="AA22" s="76">
        <f>IF($C22="","",Y22*('⚙️ SUPUESTOS'!$C$12*'⚙️ SUPUESTOS'!$C$11+(1-'⚙️ SUPUESTOS'!$C$12)*'⚙️ SUPUESTOS'!$C$13))</f>
        <v>1890.60883704</v>
      </c>
      <c r="AB22" s="76">
        <f>IF($C22="","",IF(Y22&gt;0,ROUND(Y22*'⚙️ SUPUESTOS'!$C$12*'⚙️ SUPUESTOS'!$C$11,0),""))</f>
        <v>693</v>
      </c>
      <c r="AC22" s="76">
        <f>IF($C22="","",IF(Y22&gt;0,ROUND(Y22*(1-'⚙️ SUPUESTOS'!$C$12)*'⚙️ SUPUESTOS'!$C$13,0),""))</f>
        <v>1198</v>
      </c>
      <c r="AD22" s="76">
        <f t="shared" si="2"/>
        <v>19062</v>
      </c>
      <c r="AE22" s="75">
        <f t="shared" si="3"/>
        <v>14.917527860578435</v>
      </c>
      <c r="AF22" s="70" t="str">
        <f>IF($C22="","",IF(AE22="","—",IF(AE22&lt;='⚙️ SUPUESTOS'!$C$32,"✔ Muy recomendable",IF(AE22&lt;='⚙️ SUPUESTOS'!$C$33,"✔ Recomendable","Valorar"))))</f>
        <v>✔ Muy recomendable</v>
      </c>
      <c r="AG22" s="79">
        <f>IF('📇 INVENTARIO'!O23="","",'📇 INVENTARIO'!O23)</f>
        <v>41.649039999999999</v>
      </c>
      <c r="AH22" s="79">
        <f>IF('📇 INVENTARIO'!P23="","",'📇 INVENTARIO'!P23)</f>
        <v>-4.7091700000000003</v>
      </c>
    </row>
    <row r="23" spans="1:34" ht="45" customHeight="1">
      <c r="A23" s="58">
        <f>IF($C23="","",RANK(O23,$O$3:$O$265,0)+COUNTIF($O$3:O23,O23)-1)</f>
        <v>21</v>
      </c>
      <c r="B23" s="59" t="str">
        <f>IF($C23="","",IF(A23&lt;='⚙️ SUPUESTOS'!$C$29,"Fase 1",IF(A23&lt;='⚙️ SUPUESTOS'!$C$30,"Fase 2","Fase 3")))</f>
        <v>Fase 1</v>
      </c>
      <c r="C23" s="60" t="str">
        <f>IF('📇 INVENTARIO'!B24="","",'📇 INVENTARIO'!B24)</f>
        <v>C/ Paloma, 7</v>
      </c>
      <c r="D23" s="59" t="str">
        <f>IF('📇 INVENTARIO'!C24="","",'📇 INVENTARIO'!C24)</f>
        <v>7724215UM5172D</v>
      </c>
      <c r="E23" s="59" t="str">
        <f>IF('📇 INVENTARIO'!D24="","",'📇 INVENTARIO'!D24)</f>
        <v>4718606026</v>
      </c>
      <c r="F23" s="59" t="str">
        <f>IF('📇 INVENTARIO'!F24="","",'📇 INVENTARIO'!F24)</f>
        <v>G</v>
      </c>
      <c r="G23" s="61">
        <f>IF('📇 INVENTARIO'!G24="","",'📇 INVENTARIO'!G24)</f>
        <v>399</v>
      </c>
      <c r="H23" s="61">
        <f>IF('📇 INVENTARIO'!H24="","",'📇 INVENTARIO'!H24)</f>
        <v>84</v>
      </c>
      <c r="I23" s="61">
        <f>IF('📇 INVENTARIO'!I24="","",'📇 INVENTARIO'!I24)</f>
        <v>237.4</v>
      </c>
      <c r="J23" s="61">
        <f>IF('📇 INVENTARIO'!J24="","",'📇 INVENTARIO'!J24)</f>
        <v>1965</v>
      </c>
      <c r="K23" s="62">
        <f>IF($C23="","",(G23-'⚙️ SUPUESTOS'!$C$20)/('⚙️ SUPUESTOS'!$C$25-'⚙️ SUPUESTOS'!$C$20))</f>
        <v>0.44061962134251292</v>
      </c>
      <c r="L23" s="62">
        <f>IF($C23="","",VLOOKUP($E23,'📊 SECCIONES'!$B$4:$S$9,16,FALSE()))</f>
        <v>1</v>
      </c>
      <c r="M23" s="62">
        <f>IF($C23="","",VLOOKUP($E23,'📊 SECCIONES'!$B$4:$S$9,17,FALSE()))</f>
        <v>1</v>
      </c>
      <c r="N23" s="62">
        <f>IF($C23="","",VLOOKUP($E23,'📊 SECCIONES'!$B$4:$S$9,18,FALSE()))</f>
        <v>0</v>
      </c>
      <c r="O23" s="63">
        <f>IF($C23="","",ROUND('⚙️ SUPUESTOS'!$C$21*K23+'⚙️ SUPUESTOS'!$C$22*L23+'⚙️ SUPUESTOS'!$C$23*M23+'⚙️ SUPUESTOS'!$C$24*N23,4))</f>
        <v>0.60229999999999995</v>
      </c>
      <c r="P23" s="64">
        <f>IF($C23="","",VLOOKUP($E23,'📊 SECCIONES'!$B$4:$S$9,7,FALSE()))</f>
        <v>66.510000000000005</v>
      </c>
      <c r="Q23" s="65">
        <f>IF($C23="","",VLOOKUP($E23,'📊 SECCIONES'!$B$4:$S$9,8,FALSE()))</f>
        <v>17450</v>
      </c>
      <c r="R23" s="64">
        <f>IF($C23="","",VLOOKUP($E23,'📊 SECCIONES'!$B$4:$S$9,10,FALSE()))</f>
        <v>10.6</v>
      </c>
      <c r="S23" s="61">
        <f>IF('📇 INVENTARIO'!K24="","",'📇 INVENTARIO'!K24)</f>
        <v>3</v>
      </c>
      <c r="T23" s="66" t="str">
        <f t="shared" si="0"/>
        <v>Objetivo: alcanzar calificación C. Actual: Cal.G. SATE integral + cubierta + carpinterías triple + aerotermia + instalación fotovoltaica</v>
      </c>
      <c r="U23" s="59" t="str">
        <f t="shared" si="1"/>
        <v>—</v>
      </c>
      <c r="V23" s="67">
        <f>IF('📇 INVENTARIO'!L24="","",'📇 INVENTARIO'!L24)</f>
        <v>100.1</v>
      </c>
      <c r="W23" s="64">
        <f>IF($C23="","",V23*'⚙️ SUPUESTOS'!$C$8*'⚙️ SUPUESTOS'!$C$9)</f>
        <v>21.020999999999997</v>
      </c>
      <c r="X23" s="67">
        <f>IF('📇 INVENTARIO'!N24="","",'📇 INVENTARIO'!N24)</f>
        <v>1381</v>
      </c>
      <c r="Y23" s="67">
        <f>IF($C23="","",W23*X23*'⚙️ SUPUESTOS'!$C$7)</f>
        <v>26127.000899999999</v>
      </c>
      <c r="Z23" s="65">
        <f>IF($C23="","",W23*'⚙️ SUPUESTOS'!$C$10)</f>
        <v>28063.034999999996</v>
      </c>
      <c r="AA23" s="65">
        <f>IF($C23="","",Y23*('⚙️ SUPUESTOS'!$C$12*'⚙️ SUPUESTOS'!$C$11+(1-'⚙️ SUPUESTOS'!$C$12)*'⚙️ SUPUESTOS'!$C$13))</f>
        <v>1781.8614613800003</v>
      </c>
      <c r="AB23" s="65">
        <f>IF($C23="","",IF(Y23&gt;0,ROUND(Y23*'⚙️ SUPUESTOS'!$C$12*'⚙️ SUPUESTOS'!$C$11,0),""))</f>
        <v>653</v>
      </c>
      <c r="AC23" s="65">
        <f>IF($C23="","",IF(Y23&gt;0,ROUND(Y23*(1-'⚙️ SUPUESTOS'!$C$12)*'⚙️ SUPUESTOS'!$C$13,0),""))</f>
        <v>1129</v>
      </c>
      <c r="AD23" s="65">
        <f t="shared" si="2"/>
        <v>16484</v>
      </c>
      <c r="AE23" s="64">
        <f t="shared" si="3"/>
        <v>15.749279957077015</v>
      </c>
      <c r="AF23" s="59" t="str">
        <f>IF($C23="","",IF(AE23="","—",IF(AE23&lt;='⚙️ SUPUESTOS'!$C$32,"✔ Muy recomendable",IF(AE23&lt;='⚙️ SUPUESTOS'!$C$33,"✔ Recomendable","Valorar"))))</f>
        <v>✔ Recomendable</v>
      </c>
      <c r="AG23" s="68">
        <f>IF('📇 INVENTARIO'!O24="","",'📇 INVENTARIO'!O24)</f>
        <v>41.648710000000001</v>
      </c>
      <c r="AH23" s="68">
        <f>IF('📇 INVENTARIO'!P24="","",'📇 INVENTARIO'!P24)</f>
        <v>-4.7099599999999997</v>
      </c>
    </row>
    <row r="24" spans="1:34" ht="45" customHeight="1">
      <c r="A24" s="69">
        <f>IF($C24="","",RANK(O24,$O$3:$O$265,0)+COUNTIF($O$3:O24,O24)-1)</f>
        <v>22</v>
      </c>
      <c r="B24" s="70" t="str">
        <f>IF($C24="","",IF(A24&lt;='⚙️ SUPUESTOS'!$C$29,"Fase 1",IF(A24&lt;='⚙️ SUPUESTOS'!$C$30,"Fase 2","Fase 3")))</f>
        <v>Fase 1</v>
      </c>
      <c r="C24" s="71" t="str">
        <f>IF('📇 INVENTARIO'!B25="","",'📇 INVENTARIO'!B25)</f>
        <v>C/ Grulla, 2</v>
      </c>
      <c r="D24" s="70" t="str">
        <f>IF('📇 INVENTARIO'!C25="","",'📇 INVENTARIO'!C25)</f>
        <v>7925708UM5172F</v>
      </c>
      <c r="E24" s="70" t="str">
        <f>IF('📇 INVENTARIO'!D25="","",'📇 INVENTARIO'!D25)</f>
        <v>4718606023</v>
      </c>
      <c r="F24" s="70" t="str">
        <f>IF('📇 INVENTARIO'!F25="","",'📇 INVENTARIO'!F25)</f>
        <v>G</v>
      </c>
      <c r="G24" s="72">
        <f>IF('📇 INVENTARIO'!G25="","",'📇 INVENTARIO'!G25)</f>
        <v>532</v>
      </c>
      <c r="H24" s="72">
        <f>IF('📇 INVENTARIO'!H25="","",'📇 INVENTARIO'!H25)</f>
        <v>138</v>
      </c>
      <c r="I24" s="72">
        <f>IF('📇 INVENTARIO'!I25="","",'📇 INVENTARIO'!I25)</f>
        <v>252.8</v>
      </c>
      <c r="J24" s="72">
        <f>IF('📇 INVENTARIO'!J25="","",'📇 INVENTARIO'!J25)</f>
        <v>1965</v>
      </c>
      <c r="K24" s="73">
        <f>IF($C24="","",(G24-'⚙️ SUPUESTOS'!$C$20)/('⚙️ SUPUESTOS'!$C$25-'⚙️ SUPUESTOS'!$C$20))</f>
        <v>0.66953528399311535</v>
      </c>
      <c r="L24" s="73">
        <f>IF($C24="","",VLOOKUP($E24,'📊 SECCIONES'!$B$4:$S$9,16,FALSE()))</f>
        <v>0.54128061278831963</v>
      </c>
      <c r="M24" s="73">
        <f>IF($C24="","",VLOOKUP($E24,'📊 SECCIONES'!$B$4:$S$9,17,FALSE()))</f>
        <v>0.59585492227979275</v>
      </c>
      <c r="N24" s="73">
        <f>IF($C24="","",VLOOKUP($E24,'📊 SECCIONES'!$B$4:$S$9,18,FALSE()))</f>
        <v>0.28636363636363632</v>
      </c>
      <c r="O24" s="74">
        <f>IF($C24="","",ROUND('⚙️ SUPUESTOS'!$C$21*K24+'⚙️ SUPUESTOS'!$C$22*L24+'⚙️ SUPUESTOS'!$C$23*M24+'⚙️ SUPUESTOS'!$C$24*N24,4))</f>
        <v>0.59650000000000003</v>
      </c>
      <c r="P24" s="75">
        <f>IF($C24="","",VLOOKUP($E24,'📊 SECCIONES'!$B$4:$S$9,7,FALSE()))</f>
        <v>39.409999999999997</v>
      </c>
      <c r="Q24" s="76">
        <f>IF($C24="","",VLOOKUP($E24,'📊 SECCIONES'!$B$4:$S$9,8,FALSE()))</f>
        <v>22486</v>
      </c>
      <c r="R24" s="75">
        <f>IF($C24="","",VLOOKUP($E24,'📊 SECCIONES'!$B$4:$S$9,10,FALSE()))</f>
        <v>16.899999999999999</v>
      </c>
      <c r="S24" s="72">
        <f>IF('📇 INVENTARIO'!K25="","",'📇 INVENTARIO'!K25)</f>
        <v>3</v>
      </c>
      <c r="T24" s="77" t="str">
        <f t="shared" si="0"/>
        <v>Objetivo: alcanzar calificación C. Actual: Cal.G. SATE integral + cubierta + carpinterías triple + aerotermia + instalación fotovoltaica</v>
      </c>
      <c r="U24" s="70" t="str">
        <f t="shared" si="1"/>
        <v>—</v>
      </c>
      <c r="V24" s="78">
        <f>IF('📇 INVENTARIO'!L25="","",'📇 INVENTARIO'!L25)</f>
        <v>97.5</v>
      </c>
      <c r="W24" s="75">
        <f>IF($C24="","",V24*'⚙️ SUPUESTOS'!$C$8*'⚙️ SUPUESTOS'!$C$9)</f>
        <v>20.474999999999998</v>
      </c>
      <c r="X24" s="78">
        <f>IF('📇 INVENTARIO'!N25="","",'📇 INVENTARIO'!N25)</f>
        <v>1379</v>
      </c>
      <c r="Y24" s="78">
        <f>IF($C24="","",W24*X24*'⚙️ SUPUESTOS'!$C$7)</f>
        <v>25411.522499999999</v>
      </c>
      <c r="Z24" s="76">
        <f>IF($C24="","",W24*'⚙️ SUPUESTOS'!$C$10)</f>
        <v>27334.124999999996</v>
      </c>
      <c r="AA24" s="76">
        <f>IF($C24="","",Y24*('⚙️ SUPUESTOS'!$C$12*'⚙️ SUPUESTOS'!$C$11+(1-'⚙️ SUPUESTOS'!$C$12)*'⚙️ SUPUESTOS'!$C$13))</f>
        <v>1733.0658345000002</v>
      </c>
      <c r="AB24" s="76">
        <f>IF($C24="","",IF(Y24&gt;0,ROUND(Y24*'⚙️ SUPUESTOS'!$C$12*'⚙️ SUPUESTOS'!$C$11,0),""))</f>
        <v>635</v>
      </c>
      <c r="AC24" s="76">
        <f>IF($C24="","",IF(Y24&gt;0,ROUND(Y24*(1-'⚙️ SUPUESTOS'!$C$12)*'⚙️ SUPUESTOS'!$C$13,0),""))</f>
        <v>1098</v>
      </c>
      <c r="AD24" s="76">
        <f t="shared" si="2"/>
        <v>15993</v>
      </c>
      <c r="AE24" s="75">
        <f t="shared" si="3"/>
        <v>15.772121552373719</v>
      </c>
      <c r="AF24" s="70" t="str">
        <f>IF($C24="","",IF(AE24="","—",IF(AE24&lt;='⚙️ SUPUESTOS'!$C$32,"✔ Muy recomendable",IF(AE24&lt;='⚙️ SUPUESTOS'!$C$33,"✔ Recomendable","Valorar"))))</f>
        <v>✔ Recomendable</v>
      </c>
      <c r="AG24" s="79">
        <f>IF('📇 INVENTARIO'!O25="","",'📇 INVENTARIO'!O25)</f>
        <v>41.649810000000002</v>
      </c>
      <c r="AH24" s="79">
        <f>IF('📇 INVENTARIO'!P25="","",'📇 INVENTARIO'!P25)</f>
        <v>-4.7082600000000001</v>
      </c>
    </row>
    <row r="25" spans="1:34" ht="45" customHeight="1">
      <c r="A25" s="58">
        <f>IF($C25="","",RANK(O25,$O$3:$O$265,0)+COUNTIF($O$3:O25,O25)-1)</f>
        <v>23</v>
      </c>
      <c r="B25" s="59" t="str">
        <f>IF($C25="","",IF(A25&lt;='⚙️ SUPUESTOS'!$C$29,"Fase 1",IF(A25&lt;='⚙️ SUPUESTOS'!$C$30,"Fase 2","Fase 3")))</f>
        <v>Fase 1</v>
      </c>
      <c r="C25" s="60" t="str">
        <f>IF('📇 INVENTARIO'!B26="","",'📇 INVENTARIO'!B26)</f>
        <v>C/ Paloma, 1</v>
      </c>
      <c r="D25" s="59" t="str">
        <f>IF('📇 INVENTARIO'!C26="","",'📇 INVENTARIO'!C26)</f>
        <v>7724212UM5172D</v>
      </c>
      <c r="E25" s="59" t="str">
        <f>IF('📇 INVENTARIO'!D26="","",'📇 INVENTARIO'!D26)</f>
        <v>4718606026</v>
      </c>
      <c r="F25" s="59" t="str">
        <f>IF('📇 INVENTARIO'!F26="","",'📇 INVENTARIO'!F26)</f>
        <v>G</v>
      </c>
      <c r="G25" s="61">
        <f>IF('📇 INVENTARIO'!G26="","",'📇 INVENTARIO'!G26)</f>
        <v>375</v>
      </c>
      <c r="H25" s="61">
        <f>IF('📇 INVENTARIO'!H26="","",'📇 INVENTARIO'!H26)</f>
        <v>67</v>
      </c>
      <c r="I25" s="61">
        <f>IF('📇 INVENTARIO'!I26="","",'📇 INVENTARIO'!I26)</f>
        <v>185.6</v>
      </c>
      <c r="J25" s="61">
        <f>IF('📇 INVENTARIO'!J26="","",'📇 INVENTARIO'!J26)</f>
        <v>1965</v>
      </c>
      <c r="K25" s="62">
        <f>IF($C25="","",(G25-'⚙️ SUPUESTOS'!$C$20)/('⚙️ SUPUESTOS'!$C$25-'⚙️ SUPUESTOS'!$C$20))</f>
        <v>0.3993115318416523</v>
      </c>
      <c r="L25" s="62">
        <f>IF($C25="","",VLOOKUP($E25,'📊 SECCIONES'!$B$4:$S$9,16,FALSE()))</f>
        <v>1</v>
      </c>
      <c r="M25" s="62">
        <f>IF($C25="","",VLOOKUP($E25,'📊 SECCIONES'!$B$4:$S$9,17,FALSE()))</f>
        <v>1</v>
      </c>
      <c r="N25" s="62">
        <f>IF($C25="","",VLOOKUP($E25,'📊 SECCIONES'!$B$4:$S$9,18,FALSE()))</f>
        <v>0</v>
      </c>
      <c r="O25" s="63">
        <f>IF($C25="","",ROUND('⚙️ SUPUESTOS'!$C$21*K25+'⚙️ SUPUESTOS'!$C$22*L25+'⚙️ SUPUESTOS'!$C$23*M25+'⚙️ SUPUESTOS'!$C$24*N25,4))</f>
        <v>0.5796</v>
      </c>
      <c r="P25" s="64">
        <f>IF($C25="","",VLOOKUP($E25,'📊 SECCIONES'!$B$4:$S$9,7,FALSE()))</f>
        <v>66.510000000000005</v>
      </c>
      <c r="Q25" s="65">
        <f>IF($C25="","",VLOOKUP($E25,'📊 SECCIONES'!$B$4:$S$9,8,FALSE()))</f>
        <v>17450</v>
      </c>
      <c r="R25" s="64">
        <f>IF($C25="","",VLOOKUP($E25,'📊 SECCIONES'!$B$4:$S$9,10,FALSE()))</f>
        <v>10.6</v>
      </c>
      <c r="S25" s="61">
        <f>IF('📇 INVENTARIO'!K26="","",'📇 INVENTARIO'!K26)</f>
        <v>3</v>
      </c>
      <c r="T25" s="66" t="str">
        <f t="shared" si="0"/>
        <v>Objetivo: alcanzar calificación C. Actual: Cal.G. SATE integral + cubierta + carpinterías triple + aerotermia + instalación fotovoltaica</v>
      </c>
      <c r="U25" s="59" t="str">
        <f t="shared" si="1"/>
        <v>—</v>
      </c>
      <c r="V25" s="67">
        <f>IF('📇 INVENTARIO'!L26="","",'📇 INVENTARIO'!L26)</f>
        <v>100.2</v>
      </c>
      <c r="W25" s="64">
        <f>IF($C25="","",V25*'⚙️ SUPUESTOS'!$C$8*'⚙️ SUPUESTOS'!$C$9)</f>
        <v>21.042000000000002</v>
      </c>
      <c r="X25" s="67">
        <f>IF('📇 INVENTARIO'!N26="","",'📇 INVENTARIO'!N26)</f>
        <v>1315</v>
      </c>
      <c r="Y25" s="67">
        <f>IF($C25="","",W25*X25*'⚙️ SUPUESTOS'!$C$7)</f>
        <v>24903.207000000002</v>
      </c>
      <c r="Z25" s="65">
        <f>IF($C25="","",W25*'⚙️ SUPUESTOS'!$C$10)</f>
        <v>28091.070000000003</v>
      </c>
      <c r="AA25" s="65">
        <f>IF($C25="","",Y25*('⚙️ SUPUESTOS'!$C$12*'⚙️ SUPUESTOS'!$C$11+(1-'⚙️ SUPUESTOS'!$C$12)*'⚙️ SUPUESTOS'!$C$13))</f>
        <v>1698.3987174000004</v>
      </c>
      <c r="AB25" s="65">
        <f>IF($C25="","",IF(Y25&gt;0,ROUND(Y25*'⚙️ SUPUESTOS'!$C$12*'⚙️ SUPUESTOS'!$C$11,0),""))</f>
        <v>623</v>
      </c>
      <c r="AC25" s="65">
        <f>IF($C25="","",IF(Y25&gt;0,ROUND(Y25*(1-'⚙️ SUPUESTOS'!$C$12)*'⚙️ SUPUESTOS'!$C$13,0),""))</f>
        <v>1076</v>
      </c>
      <c r="AD25" s="65">
        <f t="shared" si="2"/>
        <v>14369</v>
      </c>
      <c r="AE25" s="64">
        <f t="shared" si="3"/>
        <v>16.539738114618526</v>
      </c>
      <c r="AF25" s="59" t="str">
        <f>IF($C25="","",IF(AE25="","—",IF(AE25&lt;='⚙️ SUPUESTOS'!$C$32,"✔ Muy recomendable",IF(AE25&lt;='⚙️ SUPUESTOS'!$C$33,"✔ Recomendable","Valorar"))))</f>
        <v>Valorar</v>
      </c>
      <c r="AG25" s="68">
        <f>IF('📇 INVENTARIO'!O26="","",'📇 INVENTARIO'!O26)</f>
        <v>41.649140000000003</v>
      </c>
      <c r="AH25" s="68">
        <f>IF('📇 INVENTARIO'!P26="","",'📇 INVENTARIO'!P26)</f>
        <v>-4.7095599999999997</v>
      </c>
    </row>
    <row r="26" spans="1:34" ht="45" customHeight="1">
      <c r="A26" s="69">
        <f>IF($C26="","",RANK(O26,$O$3:$O$265,0)+COUNTIF($O$3:O26,O26)-1)</f>
        <v>24</v>
      </c>
      <c r="B26" s="70" t="str">
        <f>IF($C26="","",IF(A26&lt;='⚙️ SUPUESTOS'!$C$29,"Fase 1",IF(A26&lt;='⚙️ SUPUESTOS'!$C$30,"Fase 2","Fase 3")))</f>
        <v>Fase 1</v>
      </c>
      <c r="C26" s="71" t="str">
        <f>IF('📇 INVENTARIO'!B27="","",'📇 INVENTARIO'!B27)</f>
        <v>C/ Zorzal, 18</v>
      </c>
      <c r="D26" s="70" t="str">
        <f>IF('📇 INVENTARIO'!C27="","",'📇 INVENTARIO'!C27)</f>
        <v>7724206UM5172D</v>
      </c>
      <c r="E26" s="70" t="str">
        <f>IF('📇 INVENTARIO'!D27="","",'📇 INVENTARIO'!D27)</f>
        <v>4718606026</v>
      </c>
      <c r="F26" s="70" t="str">
        <f>IF('📇 INVENTARIO'!F27="","",'📇 INVENTARIO'!F27)</f>
        <v>G</v>
      </c>
      <c r="G26" s="72">
        <f>IF('📇 INVENTARIO'!G27="","",'📇 INVENTARIO'!G27)</f>
        <v>368</v>
      </c>
      <c r="H26" s="72">
        <f>IF('📇 INVENTARIO'!H27="","",'📇 INVENTARIO'!H27)</f>
        <v>73</v>
      </c>
      <c r="I26" s="72">
        <f>IF('📇 INVENTARIO'!I27="","",'📇 INVENTARIO'!I27)</f>
        <v>201.2</v>
      </c>
      <c r="J26" s="72">
        <f>IF('📇 INVENTARIO'!J27="","",'📇 INVENTARIO'!J27)</f>
        <v>1965</v>
      </c>
      <c r="K26" s="73">
        <f>IF($C26="","",(G26-'⚙️ SUPUESTOS'!$C$20)/('⚙️ SUPUESTOS'!$C$25-'⚙️ SUPUESTOS'!$C$20))</f>
        <v>0.38726333907056798</v>
      </c>
      <c r="L26" s="73">
        <f>IF($C26="","",VLOOKUP($E26,'📊 SECCIONES'!$B$4:$S$9,16,FALSE()))</f>
        <v>1</v>
      </c>
      <c r="M26" s="73">
        <f>IF($C26="","",VLOOKUP($E26,'📊 SECCIONES'!$B$4:$S$9,17,FALSE()))</f>
        <v>1</v>
      </c>
      <c r="N26" s="73">
        <f>IF($C26="","",VLOOKUP($E26,'📊 SECCIONES'!$B$4:$S$9,18,FALSE()))</f>
        <v>0</v>
      </c>
      <c r="O26" s="74">
        <f>IF($C26="","",ROUND('⚙️ SUPUESTOS'!$C$21*K26+'⚙️ SUPUESTOS'!$C$22*L26+'⚙️ SUPUESTOS'!$C$23*M26+'⚙️ SUPUESTOS'!$C$24*N26,4))</f>
        <v>0.57299999999999995</v>
      </c>
      <c r="P26" s="75">
        <f>IF($C26="","",VLOOKUP($E26,'📊 SECCIONES'!$B$4:$S$9,7,FALSE()))</f>
        <v>66.510000000000005</v>
      </c>
      <c r="Q26" s="76">
        <f>IF($C26="","",VLOOKUP($E26,'📊 SECCIONES'!$B$4:$S$9,8,FALSE()))</f>
        <v>17450</v>
      </c>
      <c r="R26" s="75">
        <f>IF($C26="","",VLOOKUP($E26,'📊 SECCIONES'!$B$4:$S$9,10,FALSE()))</f>
        <v>10.6</v>
      </c>
      <c r="S26" s="72">
        <f>IF('📇 INVENTARIO'!K27="","",'📇 INVENTARIO'!K27)</f>
        <v>3</v>
      </c>
      <c r="T26" s="77" t="str">
        <f t="shared" si="0"/>
        <v>Objetivo: alcanzar calificación C. Actual: Cal.G. SATE integral + cubierta + carpinterías triple + aerotermia + instalación fotovoltaica</v>
      </c>
      <c r="U26" s="70" t="str">
        <f t="shared" si="1"/>
        <v>—</v>
      </c>
      <c r="V26" s="78">
        <f>IF('📇 INVENTARIO'!L27="","",'📇 INVENTARIO'!L27)</f>
        <v>102.6</v>
      </c>
      <c r="W26" s="75">
        <f>IF($C26="","",V26*'⚙️ SUPUESTOS'!$C$8*'⚙️ SUPUESTOS'!$C$9)</f>
        <v>21.545999999999999</v>
      </c>
      <c r="X26" s="78">
        <f>IF('📇 INVENTARIO'!N27="","",'📇 INVENTARIO'!N27)</f>
        <v>1312</v>
      </c>
      <c r="Y26" s="78">
        <f>IF($C26="","",W26*X26*'⚙️ SUPUESTOS'!$C$7)</f>
        <v>25441.516800000001</v>
      </c>
      <c r="Z26" s="76">
        <f>IF($C26="","",W26*'⚙️ SUPUESTOS'!$C$10)</f>
        <v>28763.91</v>
      </c>
      <c r="AA26" s="76">
        <f>IF($C26="","",Y26*('⚙️ SUPUESTOS'!$C$12*'⚙️ SUPUESTOS'!$C$11+(1-'⚙️ SUPUESTOS'!$C$12)*'⚙️ SUPUESTOS'!$C$13))</f>
        <v>1735.1114457600004</v>
      </c>
      <c r="AB26" s="76">
        <f>IF($C26="","",IF(Y26&gt;0,ROUND(Y26*'⚙️ SUPUESTOS'!$C$12*'⚙️ SUPUESTOS'!$C$11,0),""))</f>
        <v>636</v>
      </c>
      <c r="AC26" s="76">
        <f>IF($C26="","",IF(Y26&gt;0,ROUND(Y26*(1-'⚙️ SUPUESTOS'!$C$12)*'⚙️ SUPUESTOS'!$C$13,0),""))</f>
        <v>1099</v>
      </c>
      <c r="AD26" s="76">
        <f t="shared" si="2"/>
        <v>14614</v>
      </c>
      <c r="AE26" s="75">
        <f t="shared" si="3"/>
        <v>16.577557637746462</v>
      </c>
      <c r="AF26" s="70" t="str">
        <f>IF($C26="","",IF(AE26="","—",IF(AE26&lt;='⚙️ SUPUESTOS'!$C$32,"✔ Muy recomendable",IF(AE26&lt;='⚙️ SUPUESTOS'!$C$33,"✔ Recomendable","Valorar"))))</f>
        <v>Valorar</v>
      </c>
      <c r="AG26" s="79">
        <f>IF('📇 INVENTARIO'!O27="","",'📇 INVENTARIO'!O27)</f>
        <v>41.649320000000003</v>
      </c>
      <c r="AH26" s="79">
        <f>IF('📇 INVENTARIO'!P27="","",'📇 INVENTARIO'!P27)</f>
        <v>-4.7096900000000002</v>
      </c>
    </row>
    <row r="27" spans="1:34" ht="45" customHeight="1">
      <c r="A27" s="58">
        <f>IF($C27="","",RANK(O27,$O$3:$O$265,0)+COUNTIF($O$3:O27,O27)-1)</f>
        <v>25</v>
      </c>
      <c r="B27" s="59" t="str">
        <f>IF($C27="","",IF(A27&lt;='⚙️ SUPUESTOS'!$C$29,"Fase 1",IF(A27&lt;='⚙️ SUPUESTOS'!$C$30,"Fase 2","Fase 3")))</f>
        <v>Fase 1</v>
      </c>
      <c r="C27" s="60" t="str">
        <f>IF('📇 INVENTARIO'!B28="","",'📇 INVENTARIO'!B28)</f>
        <v>C/ Pavo Real, 15</v>
      </c>
      <c r="D27" s="59" t="str">
        <f>IF('📇 INVENTARIO'!C28="","",'📇 INVENTARIO'!C28)</f>
        <v>7625407UM5172F</v>
      </c>
      <c r="E27" s="59" t="str">
        <f>IF('📇 INVENTARIO'!D28="","",'📇 INVENTARIO'!D28)</f>
        <v>4718606026</v>
      </c>
      <c r="F27" s="59" t="str">
        <f>IF('📇 INVENTARIO'!F28="","",'📇 INVENTARIO'!F28)</f>
        <v>F</v>
      </c>
      <c r="G27" s="61">
        <f>IF('📇 INVENTARIO'!G28="","",'📇 INVENTARIO'!G28)</f>
        <v>368</v>
      </c>
      <c r="H27" s="61">
        <f>IF('📇 INVENTARIO'!H28="","",'📇 INVENTARIO'!H28)</f>
        <v>97</v>
      </c>
      <c r="I27" s="61">
        <f>IF('📇 INVENTARIO'!I28="","",'📇 INVENTARIO'!I28)</f>
        <v>218</v>
      </c>
      <c r="J27" s="61">
        <f>IF('📇 INVENTARIO'!J28="","",'📇 INVENTARIO'!J28)</f>
        <v>1965</v>
      </c>
      <c r="K27" s="62">
        <f>IF($C27="","",(G27-'⚙️ SUPUESTOS'!$C$20)/('⚙️ SUPUESTOS'!$C$25-'⚙️ SUPUESTOS'!$C$20))</f>
        <v>0.38726333907056798</v>
      </c>
      <c r="L27" s="62">
        <f>IF($C27="","",VLOOKUP($E27,'📊 SECCIONES'!$B$4:$S$9,16,FALSE()))</f>
        <v>1</v>
      </c>
      <c r="M27" s="62">
        <f>IF($C27="","",VLOOKUP($E27,'📊 SECCIONES'!$B$4:$S$9,17,FALSE()))</f>
        <v>1</v>
      </c>
      <c r="N27" s="62">
        <f>IF($C27="","",VLOOKUP($E27,'📊 SECCIONES'!$B$4:$S$9,18,FALSE()))</f>
        <v>0</v>
      </c>
      <c r="O27" s="63">
        <f>IF($C27="","",ROUND('⚙️ SUPUESTOS'!$C$21*K27+'⚙️ SUPUESTOS'!$C$22*L27+'⚙️ SUPUESTOS'!$C$23*M27+'⚙️ SUPUESTOS'!$C$24*N27,4))</f>
        <v>0.57299999999999995</v>
      </c>
      <c r="P27" s="64">
        <f>IF($C27="","",VLOOKUP($E27,'📊 SECCIONES'!$B$4:$S$9,7,FALSE()))</f>
        <v>66.510000000000005</v>
      </c>
      <c r="Q27" s="65">
        <f>IF($C27="","",VLOOKUP($E27,'📊 SECCIONES'!$B$4:$S$9,8,FALSE()))</f>
        <v>17450</v>
      </c>
      <c r="R27" s="64">
        <f>IF($C27="","",VLOOKUP($E27,'📊 SECCIONES'!$B$4:$S$9,10,FALSE()))</f>
        <v>10.6</v>
      </c>
      <c r="S27" s="61">
        <f>IF('📇 INVENTARIO'!K28="","",'📇 INVENTARIO'!K28)</f>
        <v>3</v>
      </c>
      <c r="T27" s="66" t="str">
        <f t="shared" si="0"/>
        <v>Objetivo: alcanzar calificación C. Actual: Cal.F. SATE integral + cubierta + carpinterías triple + aerotermia + instalación fotovoltaica</v>
      </c>
      <c r="U27" s="59" t="str">
        <f t="shared" si="1"/>
        <v>—</v>
      </c>
      <c r="V27" s="67">
        <f>IF('📇 INVENTARIO'!L28="","",'📇 INVENTARIO'!L28)</f>
        <v>94.7</v>
      </c>
      <c r="W27" s="64">
        <f>IF($C27="","",V27*'⚙️ SUPUESTOS'!$C$8*'⚙️ SUPUESTOS'!$C$9)</f>
        <v>19.887</v>
      </c>
      <c r="X27" s="67">
        <f>IF('📇 INVENTARIO'!N28="","",'📇 INVENTARIO'!N28)</f>
        <v>1484</v>
      </c>
      <c r="Y27" s="67">
        <f>IF($C27="","",W27*X27*'⚙️ SUPUESTOS'!$C$7)</f>
        <v>26561.0772</v>
      </c>
      <c r="Z27" s="65">
        <f>IF($C27="","",W27*'⚙️ SUPUESTOS'!$C$10)</f>
        <v>26549.145</v>
      </c>
      <c r="AA27" s="65">
        <f>IF($C27="","",Y27*('⚙️ SUPUESTOS'!$C$12*'⚙️ SUPUESTOS'!$C$11+(1-'⚙️ SUPUESTOS'!$C$12)*'⚙️ SUPUESTOS'!$C$13))</f>
        <v>1811.4654650400003</v>
      </c>
      <c r="AB27" s="65">
        <f>IF($C27="","",IF(Y27&gt;0,ROUND(Y27*'⚙️ SUPUESTOS'!$C$12*'⚙️ SUPUESTOS'!$C$11,0),""))</f>
        <v>664</v>
      </c>
      <c r="AC27" s="65">
        <f>IF($C27="","",IF(Y27&gt;0,ROUND(Y27*(1-'⚙️ SUPUESTOS'!$C$12)*'⚙️ SUPUESTOS'!$C$13,0),""))</f>
        <v>1147</v>
      </c>
      <c r="AD27" s="65">
        <f t="shared" si="2"/>
        <v>18737</v>
      </c>
      <c r="AE27" s="64">
        <f t="shared" si="3"/>
        <v>14.656169555743505</v>
      </c>
      <c r="AF27" s="59" t="str">
        <f>IF($C27="","",IF(AE27="","—",IF(AE27&lt;='⚙️ SUPUESTOS'!$C$32,"✔ Muy recomendable",IF(AE27&lt;='⚙️ SUPUESTOS'!$C$33,"✔ Recomendable","Valorar"))))</f>
        <v>✔ Muy recomendable</v>
      </c>
      <c r="AG27" s="68">
        <f>IF('📇 INVENTARIO'!O28="","",'📇 INVENTARIO'!O28)</f>
        <v>41.649120000000003</v>
      </c>
      <c r="AH27" s="68">
        <f>IF('📇 INVENTARIO'!P28="","",'📇 INVENTARIO'!P28)</f>
        <v>-4.71082</v>
      </c>
    </row>
    <row r="28" spans="1:34" ht="45" customHeight="1">
      <c r="A28" s="69">
        <f>IF($C28="","",RANK(O28,$O$3:$O$265,0)+COUNTIF($O$3:O28,O28)-1)</f>
        <v>26</v>
      </c>
      <c r="B28" s="70" t="str">
        <f>IF($C28="","",IF(A28&lt;='⚙️ SUPUESTOS'!$C$29,"Fase 1",IF(A28&lt;='⚙️ SUPUESTOS'!$C$30,"Fase 2","Fase 3")))</f>
        <v>Fase 1</v>
      </c>
      <c r="C28" s="71" t="str">
        <f>IF('📇 INVENTARIO'!B29="","",'📇 INVENTARIO'!B29)</f>
        <v>C/ Villabáñez, 12</v>
      </c>
      <c r="D28" s="70" t="str">
        <f>IF('📇 INVENTARIO'!C29="","",'📇 INVENTARIO'!C29)</f>
        <v>7724207UM5172D</v>
      </c>
      <c r="E28" s="70" t="str">
        <f>IF('📇 INVENTARIO'!D29="","",'📇 INVENTARIO'!D29)</f>
        <v>4718606026</v>
      </c>
      <c r="F28" s="70" t="str">
        <f>IF('📇 INVENTARIO'!F29="","",'📇 INVENTARIO'!F29)</f>
        <v>G</v>
      </c>
      <c r="G28" s="72">
        <f>IF('📇 INVENTARIO'!G29="","",'📇 INVENTARIO'!G29)</f>
        <v>367</v>
      </c>
      <c r="H28" s="72">
        <f>IF('📇 INVENTARIO'!H29="","",'📇 INVENTARIO'!H29)</f>
        <v>72</v>
      </c>
      <c r="I28" s="72">
        <f>IF('📇 INVENTARIO'!I29="","",'📇 INVENTARIO'!I29)</f>
        <v>188.1</v>
      </c>
      <c r="J28" s="72">
        <f>IF('📇 INVENTARIO'!J29="","",'📇 INVENTARIO'!J29)</f>
        <v>1965</v>
      </c>
      <c r="K28" s="73">
        <f>IF($C28="","",(G28-'⚙️ SUPUESTOS'!$C$20)/('⚙️ SUPUESTOS'!$C$25-'⚙️ SUPUESTOS'!$C$20))</f>
        <v>0.38554216867469882</v>
      </c>
      <c r="L28" s="73">
        <f>IF($C28="","",VLOOKUP($E28,'📊 SECCIONES'!$B$4:$S$9,16,FALSE()))</f>
        <v>1</v>
      </c>
      <c r="M28" s="73">
        <f>IF($C28="","",VLOOKUP($E28,'📊 SECCIONES'!$B$4:$S$9,17,FALSE()))</f>
        <v>1</v>
      </c>
      <c r="N28" s="73">
        <f>IF($C28="","",VLOOKUP($E28,'📊 SECCIONES'!$B$4:$S$9,18,FALSE()))</f>
        <v>0</v>
      </c>
      <c r="O28" s="74">
        <f>IF($C28="","",ROUND('⚙️ SUPUESTOS'!$C$21*K28+'⚙️ SUPUESTOS'!$C$22*L28+'⚙️ SUPUESTOS'!$C$23*M28+'⚙️ SUPUESTOS'!$C$24*N28,4))</f>
        <v>0.57199999999999995</v>
      </c>
      <c r="P28" s="75">
        <f>IF($C28="","",VLOOKUP($E28,'📊 SECCIONES'!$B$4:$S$9,7,FALSE()))</f>
        <v>66.510000000000005</v>
      </c>
      <c r="Q28" s="76">
        <f>IF($C28="","",VLOOKUP($E28,'📊 SECCIONES'!$B$4:$S$9,8,FALSE()))</f>
        <v>17450</v>
      </c>
      <c r="R28" s="75">
        <f>IF($C28="","",VLOOKUP($E28,'📊 SECCIONES'!$B$4:$S$9,10,FALSE()))</f>
        <v>10.6</v>
      </c>
      <c r="S28" s="72">
        <f>IF('📇 INVENTARIO'!K29="","",'📇 INVENTARIO'!K29)</f>
        <v>3</v>
      </c>
      <c r="T28" s="77" t="str">
        <f t="shared" si="0"/>
        <v>Objetivo: alcanzar calificación C. Actual: Cal.G. SATE integral + cubierta + carpinterías triple + aerotermia + instalación fotovoltaica</v>
      </c>
      <c r="U28" s="70" t="str">
        <f t="shared" si="1"/>
        <v>—</v>
      </c>
      <c r="V28" s="78">
        <f>IF('📇 INVENTARIO'!L29="","",'📇 INVENTARIO'!L29)</f>
        <v>114.7</v>
      </c>
      <c r="W28" s="75">
        <f>IF($C28="","",V28*'⚙️ SUPUESTOS'!$C$8*'⚙️ SUPUESTOS'!$C$9)</f>
        <v>24.087</v>
      </c>
      <c r="X28" s="78">
        <f>IF('📇 INVENTARIO'!N29="","",'📇 INVENTARIO'!N29)</f>
        <v>1383</v>
      </c>
      <c r="Y28" s="78">
        <f>IF($C28="","",W28*X28*'⚙️ SUPUESTOS'!$C$7)</f>
        <v>29981.088899999999</v>
      </c>
      <c r="Z28" s="76">
        <f>IF($C28="","",W28*'⚙️ SUPUESTOS'!$C$10)</f>
        <v>32156.145</v>
      </c>
      <c r="AA28" s="76">
        <f>IF($C28="","",Y28*('⚙️ SUPUESTOS'!$C$12*'⚙️ SUPUESTOS'!$C$11+(1-'⚙️ SUPUESTOS'!$C$12)*'⚙️ SUPUESTOS'!$C$13))</f>
        <v>2044.7102629800002</v>
      </c>
      <c r="AB28" s="76">
        <f>IF($C28="","",IF(Y28&gt;0,ROUND(Y28*'⚙️ SUPUESTOS'!$C$12*'⚙️ SUPUESTOS'!$C$11,0),""))</f>
        <v>750</v>
      </c>
      <c r="AC28" s="76">
        <f>IF($C28="","",IF(Y28&gt;0,ROUND(Y28*(1-'⚙️ SUPUESTOS'!$C$12)*'⚙️ SUPUESTOS'!$C$13,0),""))</f>
        <v>1295</v>
      </c>
      <c r="AD28" s="76">
        <f t="shared" si="2"/>
        <v>18962</v>
      </c>
      <c r="AE28" s="75">
        <f t="shared" si="3"/>
        <v>15.726504425685727</v>
      </c>
      <c r="AF28" s="70" t="str">
        <f>IF($C28="","",IF(AE28="","—",IF(AE28&lt;='⚙️ SUPUESTOS'!$C$32,"✔ Muy recomendable",IF(AE28&lt;='⚙️ SUPUESTOS'!$C$33,"✔ Recomendable","Valorar"))))</f>
        <v>✔ Recomendable</v>
      </c>
      <c r="AG28" s="79">
        <f>IF('📇 INVENTARIO'!O29="","",'📇 INVENTARIO'!O29)</f>
        <v>41.649270000000001</v>
      </c>
      <c r="AH28" s="79">
        <f>IF('📇 INVENTARIO'!P29="","",'📇 INVENTARIO'!P29)</f>
        <v>-4.7094199999999997</v>
      </c>
    </row>
    <row r="29" spans="1:34" ht="45" customHeight="1">
      <c r="A29" s="58">
        <f>IF($C29="","",RANK(O29,$O$3:$O$265,0)+COUNTIF($O$3:O29,O29)-1)</f>
        <v>27</v>
      </c>
      <c r="B29" s="59" t="str">
        <f>IF($C29="","",IF(A29&lt;='⚙️ SUPUESTOS'!$C$29,"Fase 1",IF(A29&lt;='⚙️ SUPUESTOS'!$C$30,"Fase 2","Fase 3")))</f>
        <v>Fase 1</v>
      </c>
      <c r="C29" s="60" t="str">
        <f>IF('📇 INVENTARIO'!B30="","",'📇 INVENTARIO'!B30)</f>
        <v>C/ Villabáñez, 2</v>
      </c>
      <c r="D29" s="59" t="str">
        <f>IF('📇 INVENTARIO'!C30="","",'📇 INVENTARIO'!C30)</f>
        <v>7625401UM5172F</v>
      </c>
      <c r="E29" s="59" t="str">
        <f>IF('📇 INVENTARIO'!D30="","",'📇 INVENTARIO'!D30)</f>
        <v>4718606026</v>
      </c>
      <c r="F29" s="59" t="str">
        <f>IF('📇 INVENTARIO'!F30="","",'📇 INVENTARIO'!F30)</f>
        <v>G</v>
      </c>
      <c r="G29" s="61">
        <f>IF('📇 INVENTARIO'!G30="","",'📇 INVENTARIO'!G30)</f>
        <v>346</v>
      </c>
      <c r="H29" s="61">
        <f>IF('📇 INVENTARIO'!H30="","",'📇 INVENTARIO'!H30)</f>
        <v>58.5</v>
      </c>
      <c r="I29" s="61">
        <f>IF('📇 INVENTARIO'!I30="","",'📇 INVENTARIO'!I30)</f>
        <v>140.19999999999999</v>
      </c>
      <c r="J29" s="61">
        <f>IF('📇 INVENTARIO'!J30="","",'📇 INVENTARIO'!J30)</f>
        <v>1958</v>
      </c>
      <c r="K29" s="62">
        <f>IF($C29="","",(G29-'⚙️ SUPUESTOS'!$C$20)/('⚙️ SUPUESTOS'!$C$25-'⚙️ SUPUESTOS'!$C$20))</f>
        <v>0.3493975903614458</v>
      </c>
      <c r="L29" s="62">
        <f>IF($C29="","",VLOOKUP($E29,'📊 SECCIONES'!$B$4:$S$9,16,FALSE()))</f>
        <v>1</v>
      </c>
      <c r="M29" s="62">
        <f>IF($C29="","",VLOOKUP($E29,'📊 SECCIONES'!$B$4:$S$9,17,FALSE()))</f>
        <v>1</v>
      </c>
      <c r="N29" s="62">
        <f>IF($C29="","",VLOOKUP($E29,'📊 SECCIONES'!$B$4:$S$9,18,FALSE()))</f>
        <v>0</v>
      </c>
      <c r="O29" s="63">
        <f>IF($C29="","",ROUND('⚙️ SUPUESTOS'!$C$21*K29+'⚙️ SUPUESTOS'!$C$22*L29+'⚙️ SUPUESTOS'!$C$23*M29+'⚙️ SUPUESTOS'!$C$24*N29,4))</f>
        <v>0.55220000000000002</v>
      </c>
      <c r="P29" s="64">
        <f>IF($C29="","",VLOOKUP($E29,'📊 SECCIONES'!$B$4:$S$9,7,FALSE()))</f>
        <v>66.510000000000005</v>
      </c>
      <c r="Q29" s="65">
        <f>IF($C29="","",VLOOKUP($E29,'📊 SECCIONES'!$B$4:$S$9,8,FALSE()))</f>
        <v>17450</v>
      </c>
      <c r="R29" s="64">
        <f>IF($C29="","",VLOOKUP($E29,'📊 SECCIONES'!$B$4:$S$9,10,FALSE()))</f>
        <v>10.6</v>
      </c>
      <c r="S29" s="61">
        <f>IF('📇 INVENTARIO'!K30="","",'📇 INVENTARIO'!K30)</f>
        <v>5</v>
      </c>
      <c r="T29" s="66" t="str">
        <f t="shared" si="0"/>
        <v>Objetivo: alcanzar calificación C. Actual: Cal.G. SATE integral + cubierta + carpinterías triple + aerotermia + instalación fotovoltaica</v>
      </c>
      <c r="U29" s="59" t="str">
        <f t="shared" si="1"/>
        <v>Valorar ascensor (verificar)</v>
      </c>
      <c r="V29" s="67">
        <f>IF('📇 INVENTARIO'!L30="","",'📇 INVENTARIO'!L30)</f>
        <v>330.5</v>
      </c>
      <c r="W29" s="64">
        <f>IF($C29="","",V29*'⚙️ SUPUESTOS'!$C$8*'⚙️ SUPUESTOS'!$C$9)</f>
        <v>69.405000000000001</v>
      </c>
      <c r="X29" s="67">
        <f>IF('📇 INVENTARIO'!N30="","",'📇 INVENTARIO'!N30)</f>
        <v>1373</v>
      </c>
      <c r="Y29" s="67">
        <f>IF($C29="","",W29*X29*'⚙️ SUPUESTOS'!$C$7)</f>
        <v>85763.758500000011</v>
      </c>
      <c r="Z29" s="65">
        <f>IF($C29="","",W29*'⚙️ SUPUESTOS'!$C$10)</f>
        <v>92655.675000000003</v>
      </c>
      <c r="AA29" s="65">
        <f>IF($C29="","",Y29*('⚙️ SUPUESTOS'!$C$12*'⚙️ SUPUESTOS'!$C$11+(1-'⚙️ SUPUESTOS'!$C$12)*'⚙️ SUPUESTOS'!$C$13))</f>
        <v>5849.0883297000019</v>
      </c>
      <c r="AB29" s="65">
        <f>IF($C29="","",IF(Y29&gt;0,ROUND(Y29*'⚙️ SUPUESTOS'!$C$12*'⚙️ SUPUESTOS'!$C$11,0),""))</f>
        <v>2144</v>
      </c>
      <c r="AC29" s="65">
        <f>IF($C29="","",IF(Y29&gt;0,ROUND(Y29*(1-'⚙️ SUPUESTOS'!$C$12)*'⚙️ SUPUESTOS'!$C$13,0),""))</f>
        <v>3705</v>
      </c>
      <c r="AD29" s="65">
        <f t="shared" si="2"/>
        <v>53572</v>
      </c>
      <c r="AE29" s="64">
        <f t="shared" si="3"/>
        <v>15.841045608684164</v>
      </c>
      <c r="AF29" s="59" t="str">
        <f>IF($C29="","",IF(AE29="","—",IF(AE29&lt;='⚙️ SUPUESTOS'!$C$32,"✔ Muy recomendable",IF(AE29&lt;='⚙️ SUPUESTOS'!$C$33,"✔ Recomendable","Valorar"))))</f>
        <v>✔ Recomendable</v>
      </c>
      <c r="AG29" s="68">
        <f>IF('📇 INVENTARIO'!O30="","",'📇 INVENTARIO'!O30)</f>
        <v>41.649880000000003</v>
      </c>
      <c r="AH29" s="68">
        <f>IF('📇 INVENTARIO'!P30="","",'📇 INVENTARIO'!P30)</f>
        <v>-4.7106899999999996</v>
      </c>
    </row>
    <row r="30" spans="1:34" ht="45" customHeight="1">
      <c r="A30" s="69">
        <f>IF($C30="","",RANK(O30,$O$3:$O$265,0)+COUNTIF($O$3:O30,O30)-1)</f>
        <v>28</v>
      </c>
      <c r="B30" s="70" t="str">
        <f>IF($C30="","",IF(A30&lt;='⚙️ SUPUESTOS'!$C$29,"Fase 1",IF(A30&lt;='⚙️ SUPUESTOS'!$C$30,"Fase 2","Fase 3")))</f>
        <v>Fase 1</v>
      </c>
      <c r="C30" s="71" t="str">
        <f>IF('📇 INVENTARIO'!B31="","",'📇 INVENTARIO'!B31)</f>
        <v>C/ Cigüeña, 39</v>
      </c>
      <c r="D30" s="70" t="str">
        <f>IF('📇 INVENTARIO'!C31="","",'📇 INVENTARIO'!C31)</f>
        <v>7824513UM5172D</v>
      </c>
      <c r="E30" s="70" t="str">
        <f>IF('📇 INVENTARIO'!D31="","",'📇 INVENTARIO'!D31)</f>
        <v>4718606026</v>
      </c>
      <c r="F30" s="70" t="str">
        <f>IF('📇 INVENTARIO'!F31="","",'📇 INVENTARIO'!F31)</f>
        <v>G</v>
      </c>
      <c r="G30" s="72">
        <f>IF('📇 INVENTARIO'!G31="","",'📇 INVENTARIO'!G31)</f>
        <v>344</v>
      </c>
      <c r="H30" s="72">
        <f>IF('📇 INVENTARIO'!H31="","",'📇 INVENTARIO'!H31)</f>
        <v>66</v>
      </c>
      <c r="I30" s="72">
        <f>IF('📇 INVENTARIO'!I31="","",'📇 INVENTARIO'!I31)</f>
        <v>138.19999999999999</v>
      </c>
      <c r="J30" s="72">
        <f>IF('📇 INVENTARIO'!J31="","",'📇 INVENTARIO'!J31)</f>
        <v>1965</v>
      </c>
      <c r="K30" s="73">
        <f>IF($C30="","",(G30-'⚙️ SUPUESTOS'!$C$20)/('⚙️ SUPUESTOS'!$C$25-'⚙️ SUPUESTOS'!$C$20))</f>
        <v>0.34595524956970741</v>
      </c>
      <c r="L30" s="73">
        <f>IF($C30="","",VLOOKUP($E30,'📊 SECCIONES'!$B$4:$S$9,16,FALSE()))</f>
        <v>1</v>
      </c>
      <c r="M30" s="73">
        <f>IF($C30="","",VLOOKUP($E30,'📊 SECCIONES'!$B$4:$S$9,17,FALSE()))</f>
        <v>1</v>
      </c>
      <c r="N30" s="73">
        <f>IF($C30="","",VLOOKUP($E30,'📊 SECCIONES'!$B$4:$S$9,18,FALSE()))</f>
        <v>0</v>
      </c>
      <c r="O30" s="74">
        <f>IF($C30="","",ROUND('⚙️ SUPUESTOS'!$C$21*K30+'⚙️ SUPUESTOS'!$C$22*L30+'⚙️ SUPUESTOS'!$C$23*M30+'⚙️ SUPUESTOS'!$C$24*N30,4))</f>
        <v>0.55030000000000001</v>
      </c>
      <c r="P30" s="75">
        <f>IF($C30="","",VLOOKUP($E30,'📊 SECCIONES'!$B$4:$S$9,7,FALSE()))</f>
        <v>66.510000000000005</v>
      </c>
      <c r="Q30" s="76">
        <f>IF($C30="","",VLOOKUP($E30,'📊 SECCIONES'!$B$4:$S$9,8,FALSE()))</f>
        <v>17450</v>
      </c>
      <c r="R30" s="75">
        <f>IF($C30="","",VLOOKUP($E30,'📊 SECCIONES'!$B$4:$S$9,10,FALSE()))</f>
        <v>10.6</v>
      </c>
      <c r="S30" s="72">
        <f>IF('📇 INVENTARIO'!K31="","",'📇 INVENTARIO'!K31)</f>
        <v>3</v>
      </c>
      <c r="T30" s="77" t="str">
        <f t="shared" si="0"/>
        <v>Objetivo: alcanzar calificación C. Actual: Cal.G. SATE integral + cubierta + carpinterías triple + aerotermia + instalación fotovoltaica</v>
      </c>
      <c r="U30" s="70" t="str">
        <f t="shared" si="1"/>
        <v>—</v>
      </c>
      <c r="V30" s="78">
        <f>IF('📇 INVENTARIO'!L31="","",'📇 INVENTARIO'!L31)</f>
        <v>96.7</v>
      </c>
      <c r="W30" s="75">
        <f>IF($C30="","",V30*'⚙️ SUPUESTOS'!$C$8*'⚙️ SUPUESTOS'!$C$9)</f>
        <v>20.306999999999999</v>
      </c>
      <c r="X30" s="78">
        <f>IF('📇 INVENTARIO'!N31="","",'📇 INVENTARIO'!N31)</f>
        <v>1532</v>
      </c>
      <c r="Y30" s="78">
        <f>IF($C30="","",W30*X30*'⚙️ SUPUESTOS'!$C$7)</f>
        <v>27999.291599999997</v>
      </c>
      <c r="Z30" s="76">
        <f>IF($C30="","",W30*'⚙️ SUPUESTOS'!$C$10)</f>
        <v>27109.844999999998</v>
      </c>
      <c r="AA30" s="76">
        <f>IF($C30="","",Y30*('⚙️ SUPUESTOS'!$C$12*'⚙️ SUPUESTOS'!$C$11+(1-'⚙️ SUPUESTOS'!$C$12)*'⚙️ SUPUESTOS'!$C$13))</f>
        <v>1909.55168712</v>
      </c>
      <c r="AB30" s="76">
        <f>IF($C30="","",IF(Y30&gt;0,ROUND(Y30*'⚙️ SUPUESTOS'!$C$12*'⚙️ SUPUESTOS'!$C$11,0),""))</f>
        <v>700</v>
      </c>
      <c r="AC30" s="76">
        <f>IF($C30="","",IF(Y30&gt;0,ROUND(Y30*(1-'⚙️ SUPUESTOS'!$C$12)*'⚙️ SUPUESTOS'!$C$13,0),""))</f>
        <v>1210</v>
      </c>
      <c r="AD30" s="76">
        <f t="shared" si="2"/>
        <v>20629</v>
      </c>
      <c r="AE30" s="75">
        <f t="shared" si="3"/>
        <v>14.196968420837702</v>
      </c>
      <c r="AF30" s="70" t="str">
        <f>IF($C30="","",IF(AE30="","—",IF(AE30&lt;='⚙️ SUPUESTOS'!$C$32,"✔ Muy recomendable",IF(AE30&lt;='⚙️ SUPUESTOS'!$C$33,"✔ Recomendable","Valorar"))))</f>
        <v>✔ Muy recomendable</v>
      </c>
      <c r="AG30" s="79">
        <f>IF('📇 INVENTARIO'!O31="","",'📇 INVENTARIO'!O31)</f>
        <v>41.648200000000003</v>
      </c>
      <c r="AH30" s="79">
        <f>IF('📇 INVENTARIO'!P31="","",'📇 INVENTARIO'!P31)</f>
        <v>-4.7089999999999996</v>
      </c>
    </row>
    <row r="31" spans="1:34" ht="45" customHeight="1">
      <c r="A31" s="58">
        <f>IF($C31="","",RANK(O31,$O$3:$O$265,0)+COUNTIF($O$3:O31,O31)-1)</f>
        <v>29</v>
      </c>
      <c r="B31" s="59" t="str">
        <f>IF($C31="","",IF(A31&lt;='⚙️ SUPUESTOS'!$C$29,"Fase 1",IF(A31&lt;='⚙️ SUPUESTOS'!$C$30,"Fase 2","Fase 3")))</f>
        <v>Fase 1</v>
      </c>
      <c r="C31" s="60" t="str">
        <f>IF('📇 INVENTARIO'!B32="","",'📇 INVENTARIO'!B32)</f>
        <v>C/ Faisán, 7</v>
      </c>
      <c r="D31" s="59" t="str">
        <f>IF('📇 INVENTARIO'!C32="","",'📇 INVENTARIO'!C32)</f>
        <v>7724220UM5172D</v>
      </c>
      <c r="E31" s="59" t="str">
        <f>IF('📇 INVENTARIO'!D32="","",'📇 INVENTARIO'!D32)</f>
        <v>4718606026</v>
      </c>
      <c r="F31" s="59" t="str">
        <f>IF('📇 INVENTARIO'!F32="","",'📇 INVENTARIO'!F32)</f>
        <v>G</v>
      </c>
      <c r="G31" s="61">
        <f>IF('📇 INVENTARIO'!G32="","",'📇 INVENTARIO'!G32)</f>
        <v>338</v>
      </c>
      <c r="H31" s="61">
        <f>IF('📇 INVENTARIO'!H32="","",'📇 INVENTARIO'!H32)</f>
        <v>71.5</v>
      </c>
      <c r="I31" s="61">
        <f>IF('📇 INVENTARIO'!I32="","",'📇 INVENTARIO'!I32)</f>
        <v>176</v>
      </c>
      <c r="J31" s="61">
        <f>IF('📇 INVENTARIO'!J32="","",'📇 INVENTARIO'!J32)</f>
        <v>1965</v>
      </c>
      <c r="K31" s="62">
        <f>IF($C31="","",(G31-'⚙️ SUPUESTOS'!$C$20)/('⚙️ SUPUESTOS'!$C$25-'⚙️ SUPUESTOS'!$C$20))</f>
        <v>0.33562822719449226</v>
      </c>
      <c r="L31" s="62">
        <f>IF($C31="","",VLOOKUP($E31,'📊 SECCIONES'!$B$4:$S$9,16,FALSE()))</f>
        <v>1</v>
      </c>
      <c r="M31" s="62">
        <f>IF($C31="","",VLOOKUP($E31,'📊 SECCIONES'!$B$4:$S$9,17,FALSE()))</f>
        <v>1</v>
      </c>
      <c r="N31" s="62">
        <f>IF($C31="","",VLOOKUP($E31,'📊 SECCIONES'!$B$4:$S$9,18,FALSE()))</f>
        <v>0</v>
      </c>
      <c r="O31" s="63">
        <f>IF($C31="","",ROUND('⚙️ SUPUESTOS'!$C$21*K31+'⚙️ SUPUESTOS'!$C$22*L31+'⚙️ SUPUESTOS'!$C$23*M31+'⚙️ SUPUESTOS'!$C$24*N31,4))</f>
        <v>0.54459999999999997</v>
      </c>
      <c r="P31" s="64">
        <f>IF($C31="","",VLOOKUP($E31,'📊 SECCIONES'!$B$4:$S$9,7,FALSE()))</f>
        <v>66.510000000000005</v>
      </c>
      <c r="Q31" s="65">
        <f>IF($C31="","",VLOOKUP($E31,'📊 SECCIONES'!$B$4:$S$9,8,FALSE()))</f>
        <v>17450</v>
      </c>
      <c r="R31" s="64">
        <f>IF($C31="","",VLOOKUP($E31,'📊 SECCIONES'!$B$4:$S$9,10,FALSE()))</f>
        <v>10.6</v>
      </c>
      <c r="S31" s="61">
        <f>IF('📇 INVENTARIO'!K32="","",'📇 INVENTARIO'!K32)</f>
        <v>3</v>
      </c>
      <c r="T31" s="66" t="str">
        <f t="shared" si="0"/>
        <v>Objetivo: alcanzar calificación C. Actual: Cal.G. SATE integral + cubierta + carpinterías triple + aerotermia + instalación fotovoltaica</v>
      </c>
      <c r="U31" s="59" t="str">
        <f t="shared" si="1"/>
        <v>—</v>
      </c>
      <c r="V31" s="67">
        <f>IF('📇 INVENTARIO'!L32="","",'📇 INVENTARIO'!L32)</f>
        <v>97.6</v>
      </c>
      <c r="W31" s="64">
        <f>IF($C31="","",V31*'⚙️ SUPUESTOS'!$C$8*'⚙️ SUPUESTOS'!$C$9)</f>
        <v>20.495999999999999</v>
      </c>
      <c r="X31" s="67">
        <f>IF('📇 INVENTARIO'!N32="","",'📇 INVENTARIO'!N32)</f>
        <v>1532</v>
      </c>
      <c r="Y31" s="67">
        <f>IF($C31="","",W31*X31*'⚙️ SUPUESTOS'!$C$7)</f>
        <v>28259.8848</v>
      </c>
      <c r="Z31" s="65">
        <f>IF($C31="","",W31*'⚙️ SUPUESTOS'!$C$10)</f>
        <v>27362.16</v>
      </c>
      <c r="AA31" s="65">
        <f>IF($C31="","",Y31*('⚙️ SUPUESTOS'!$C$12*'⚙️ SUPUESTOS'!$C$11+(1-'⚙️ SUPUESTOS'!$C$12)*'⚙️ SUPUESTOS'!$C$13))</f>
        <v>1927.3241433600003</v>
      </c>
      <c r="AB31" s="65">
        <f>IF($C31="","",IF(Y31&gt;0,ROUND(Y31*'⚙️ SUPUESTOS'!$C$12*'⚙️ SUPUESTOS'!$C$11,0),""))</f>
        <v>706</v>
      </c>
      <c r="AC31" s="65">
        <f>IF($C31="","",IF(Y31&gt;0,ROUND(Y31*(1-'⚙️ SUPUESTOS'!$C$12)*'⚙️ SUPUESTOS'!$C$13,0),""))</f>
        <v>1221</v>
      </c>
      <c r="AD31" s="65">
        <f t="shared" si="2"/>
        <v>20821</v>
      </c>
      <c r="AE31" s="64">
        <f t="shared" si="3"/>
        <v>14.196968420837701</v>
      </c>
      <c r="AF31" s="59" t="str">
        <f>IF($C31="","",IF(AE31="","—",IF(AE31&lt;='⚙️ SUPUESTOS'!$C$32,"✔ Muy recomendable",IF(AE31&lt;='⚙️ SUPUESTOS'!$C$33,"✔ Recomendable","Valorar"))))</f>
        <v>✔ Muy recomendable</v>
      </c>
      <c r="AG31" s="68">
        <f>IF('📇 INVENTARIO'!O32="","",'📇 INVENTARIO'!O32)</f>
        <v>41.648519999999998</v>
      </c>
      <c r="AH31" s="68">
        <f>IF('📇 INVENTARIO'!P32="","",'📇 INVENTARIO'!P32)</f>
        <v>-4.7100299999999997</v>
      </c>
    </row>
    <row r="32" spans="1:34" ht="45" customHeight="1">
      <c r="A32" s="69">
        <f>IF($C32="","",RANK(O32,$O$3:$O$265,0)+COUNTIF($O$3:O32,O32)-1)</f>
        <v>30</v>
      </c>
      <c r="B32" s="70" t="str">
        <f>IF($C32="","",IF(A32&lt;='⚙️ SUPUESTOS'!$C$29,"Fase 1",IF(A32&lt;='⚙️ SUPUESTOS'!$C$30,"Fase 2","Fase 3")))</f>
        <v>Fase 1</v>
      </c>
      <c r="C32" s="71" t="str">
        <f>IF('📇 INVENTARIO'!B33="","",'📇 INVENTARIO'!B33)</f>
        <v>C/ Villabáñez, 4</v>
      </c>
      <c r="D32" s="70" t="str">
        <f>IF('📇 INVENTARIO'!C33="","",'📇 INVENTARIO'!C33)</f>
        <v>7625401UM5172F</v>
      </c>
      <c r="E32" s="70" t="str">
        <f>IF('📇 INVENTARIO'!D33="","",'📇 INVENTARIO'!D33)</f>
        <v>4718606026</v>
      </c>
      <c r="F32" s="70" t="str">
        <f>IF('📇 INVENTARIO'!F33="","",'📇 INVENTARIO'!F33)</f>
        <v>G</v>
      </c>
      <c r="G32" s="72">
        <f>IF('📇 INVENTARIO'!G33="","",'📇 INVENTARIO'!G33)</f>
        <v>338</v>
      </c>
      <c r="H32" s="72">
        <f>IF('📇 INVENTARIO'!H33="","",'📇 INVENTARIO'!H33)</f>
        <v>68</v>
      </c>
      <c r="I32" s="72">
        <f>IF('📇 INVENTARIO'!I33="","",'📇 INVENTARIO'!I33)</f>
        <v>182.7</v>
      </c>
      <c r="J32" s="72">
        <f>IF('📇 INVENTARIO'!J33="","",'📇 INVENTARIO'!J33)</f>
        <v>1958</v>
      </c>
      <c r="K32" s="73">
        <f>IF($C32="","",(G32-'⚙️ SUPUESTOS'!$C$20)/('⚙️ SUPUESTOS'!$C$25-'⚙️ SUPUESTOS'!$C$20))</f>
        <v>0.33562822719449226</v>
      </c>
      <c r="L32" s="73">
        <f>IF($C32="","",VLOOKUP($E32,'📊 SECCIONES'!$B$4:$S$9,16,FALSE()))</f>
        <v>1</v>
      </c>
      <c r="M32" s="73">
        <f>IF($C32="","",VLOOKUP($E32,'📊 SECCIONES'!$B$4:$S$9,17,FALSE()))</f>
        <v>1</v>
      </c>
      <c r="N32" s="73">
        <f>IF($C32="","",VLOOKUP($E32,'📊 SECCIONES'!$B$4:$S$9,18,FALSE()))</f>
        <v>0</v>
      </c>
      <c r="O32" s="74">
        <f>IF($C32="","",ROUND('⚙️ SUPUESTOS'!$C$21*K32+'⚙️ SUPUESTOS'!$C$22*L32+'⚙️ SUPUESTOS'!$C$23*M32+'⚙️ SUPUESTOS'!$C$24*N32,4))</f>
        <v>0.54459999999999997</v>
      </c>
      <c r="P32" s="75">
        <f>IF($C32="","",VLOOKUP($E32,'📊 SECCIONES'!$B$4:$S$9,7,FALSE()))</f>
        <v>66.510000000000005</v>
      </c>
      <c r="Q32" s="76">
        <f>IF($C32="","",VLOOKUP($E32,'📊 SECCIONES'!$B$4:$S$9,8,FALSE()))</f>
        <v>17450</v>
      </c>
      <c r="R32" s="75">
        <f>IF($C32="","",VLOOKUP($E32,'📊 SECCIONES'!$B$4:$S$9,10,FALSE()))</f>
        <v>10.6</v>
      </c>
      <c r="S32" s="72">
        <f>IF('📇 INVENTARIO'!K33="","",'📇 INVENTARIO'!K33)</f>
        <v>5</v>
      </c>
      <c r="T32" s="77" t="str">
        <f t="shared" si="0"/>
        <v>Objetivo: alcanzar calificación C. Actual: Cal.G. SATE integral + cubierta + carpinterías triple + aerotermia + instalación fotovoltaica</v>
      </c>
      <c r="U32" s="70" t="str">
        <f t="shared" si="1"/>
        <v>Valorar ascensor (verificar)</v>
      </c>
      <c r="V32" s="78">
        <f>IF('📇 INVENTARIO'!L33="","",'📇 INVENTARIO'!L33)</f>
        <v>330.5</v>
      </c>
      <c r="W32" s="75">
        <f>IF($C32="","",V32*'⚙️ SUPUESTOS'!$C$8*'⚙️ SUPUESTOS'!$C$9)</f>
        <v>69.405000000000001</v>
      </c>
      <c r="X32" s="78">
        <f>IF('📇 INVENTARIO'!N33="","",'📇 INVENTARIO'!N33)</f>
        <v>1373</v>
      </c>
      <c r="Y32" s="78">
        <f>IF($C32="","",W32*X32*'⚙️ SUPUESTOS'!$C$7)</f>
        <v>85763.758500000011</v>
      </c>
      <c r="Z32" s="76">
        <f>IF($C32="","",W32*'⚙️ SUPUESTOS'!$C$10)</f>
        <v>92655.675000000003</v>
      </c>
      <c r="AA32" s="76">
        <f>IF($C32="","",Y32*('⚙️ SUPUESTOS'!$C$12*'⚙️ SUPUESTOS'!$C$11+(1-'⚙️ SUPUESTOS'!$C$12)*'⚙️ SUPUESTOS'!$C$13))</f>
        <v>5849.0883297000019</v>
      </c>
      <c r="AB32" s="76">
        <f>IF($C32="","",IF(Y32&gt;0,ROUND(Y32*'⚙️ SUPUESTOS'!$C$12*'⚙️ SUPUESTOS'!$C$11,0),""))</f>
        <v>2144</v>
      </c>
      <c r="AC32" s="76">
        <f>IF($C32="","",IF(Y32&gt;0,ROUND(Y32*(1-'⚙️ SUPUESTOS'!$C$12)*'⚙️ SUPUESTOS'!$C$13,0),""))</f>
        <v>3705</v>
      </c>
      <c r="AD32" s="76">
        <f t="shared" si="2"/>
        <v>53572</v>
      </c>
      <c r="AE32" s="75">
        <f t="shared" si="3"/>
        <v>15.841045608684164</v>
      </c>
      <c r="AF32" s="70" t="str">
        <f>IF($C32="","",IF(AE32="","—",IF(AE32&lt;='⚙️ SUPUESTOS'!$C$32,"✔ Muy recomendable",IF(AE32&lt;='⚙️ SUPUESTOS'!$C$33,"✔ Recomendable","Valorar"))))</f>
        <v>✔ Recomendable</v>
      </c>
      <c r="AG32" s="79">
        <f>IF('📇 INVENTARIO'!O33="","",'📇 INVENTARIO'!O33)</f>
        <v>41.649799999999999</v>
      </c>
      <c r="AH32" s="79">
        <f>IF('📇 INVENTARIO'!P33="","",'📇 INVENTARIO'!P33)</f>
        <v>-4.7105100000000002</v>
      </c>
    </row>
    <row r="33" spans="1:34" ht="45" customHeight="1">
      <c r="A33" s="58">
        <f>IF($C33="","",RANK(O33,$O$3:$O$265,0)+COUNTIF($O$3:O33,O33)-1)</f>
        <v>31</v>
      </c>
      <c r="B33" s="59" t="str">
        <f>IF($C33="","",IF(A33&lt;='⚙️ SUPUESTOS'!$C$29,"Fase 1",IF(A33&lt;='⚙️ SUPUESTOS'!$C$30,"Fase 2","Fase 3")))</f>
        <v>Fase 1</v>
      </c>
      <c r="C33" s="60" t="str">
        <f>IF('📇 INVENTARIO'!B34="","",'📇 INVENTARIO'!B34)</f>
        <v>C/ Cigüeña, 41</v>
      </c>
      <c r="D33" s="59" t="str">
        <f>IF('📇 INVENTARIO'!C34="","",'📇 INVENTARIO'!C34)</f>
        <v>7824512UM5172D</v>
      </c>
      <c r="E33" s="59" t="str">
        <f>IF('📇 INVENTARIO'!D34="","",'📇 INVENTARIO'!D34)</f>
        <v>4718606026</v>
      </c>
      <c r="F33" s="59" t="str">
        <f>IF('📇 INVENTARIO'!F34="","",'📇 INVENTARIO'!F34)</f>
        <v>G</v>
      </c>
      <c r="G33" s="61">
        <f>IF('📇 INVENTARIO'!G34="","",'📇 INVENTARIO'!G34)</f>
        <v>335</v>
      </c>
      <c r="H33" s="61">
        <f>IF('📇 INVENTARIO'!H34="","",'📇 INVENTARIO'!H34)</f>
        <v>59.5</v>
      </c>
      <c r="I33" s="61">
        <f>IF('📇 INVENTARIO'!I34="","",'📇 INVENTARIO'!I34)</f>
        <v>125.3</v>
      </c>
      <c r="J33" s="61">
        <f>IF('📇 INVENTARIO'!J34="","",'📇 INVENTARIO'!J34)</f>
        <v>1965</v>
      </c>
      <c r="K33" s="62">
        <f>IF($C33="","",(G33-'⚙️ SUPUESTOS'!$C$20)/('⚙️ SUPUESTOS'!$C$25-'⚙️ SUPUESTOS'!$C$20))</f>
        <v>0.33046471600688471</v>
      </c>
      <c r="L33" s="62">
        <f>IF($C33="","",VLOOKUP($E33,'📊 SECCIONES'!$B$4:$S$9,16,FALSE()))</f>
        <v>1</v>
      </c>
      <c r="M33" s="62">
        <f>IF($C33="","",VLOOKUP($E33,'📊 SECCIONES'!$B$4:$S$9,17,FALSE()))</f>
        <v>1</v>
      </c>
      <c r="N33" s="62">
        <f>IF($C33="","",VLOOKUP($E33,'📊 SECCIONES'!$B$4:$S$9,18,FALSE()))</f>
        <v>0</v>
      </c>
      <c r="O33" s="63">
        <f>IF($C33="","",ROUND('⚙️ SUPUESTOS'!$C$21*K33+'⚙️ SUPUESTOS'!$C$22*L33+'⚙️ SUPUESTOS'!$C$23*M33+'⚙️ SUPUESTOS'!$C$24*N33,4))</f>
        <v>0.54179999999999995</v>
      </c>
      <c r="P33" s="64">
        <f>IF($C33="","",VLOOKUP($E33,'📊 SECCIONES'!$B$4:$S$9,7,FALSE()))</f>
        <v>66.510000000000005</v>
      </c>
      <c r="Q33" s="65">
        <f>IF($C33="","",VLOOKUP($E33,'📊 SECCIONES'!$B$4:$S$9,8,FALSE()))</f>
        <v>17450</v>
      </c>
      <c r="R33" s="64">
        <f>IF($C33="","",VLOOKUP($E33,'📊 SECCIONES'!$B$4:$S$9,10,FALSE()))</f>
        <v>10.6</v>
      </c>
      <c r="S33" s="61">
        <f>IF('📇 INVENTARIO'!K34="","",'📇 INVENTARIO'!K34)</f>
        <v>3</v>
      </c>
      <c r="T33" s="66" t="str">
        <f t="shared" si="0"/>
        <v>Objetivo: alcanzar calificación C. Actual: Cal.G. SATE integral + cubierta + carpinterías triple + aerotermia + instalación fotovoltaica</v>
      </c>
      <c r="U33" s="59" t="str">
        <f t="shared" si="1"/>
        <v>—</v>
      </c>
      <c r="V33" s="67">
        <f>IF('📇 INVENTARIO'!L34="","",'📇 INVENTARIO'!L34)</f>
        <v>98.7</v>
      </c>
      <c r="W33" s="64">
        <f>IF($C33="","",V33*'⚙️ SUPUESTOS'!$C$8*'⚙️ SUPUESTOS'!$C$9)</f>
        <v>20.727</v>
      </c>
      <c r="X33" s="67">
        <f>IF('📇 INVENTARIO'!N34="","",'📇 INVENTARIO'!N34)</f>
        <v>1515</v>
      </c>
      <c r="Y33" s="67">
        <f>IF($C33="","",W33*X33*'⚙️ SUPUESTOS'!$C$7)</f>
        <v>28261.264500000001</v>
      </c>
      <c r="Z33" s="65">
        <f>IF($C33="","",W33*'⚙️ SUPUESTOS'!$C$10)</f>
        <v>27670.545000000002</v>
      </c>
      <c r="AA33" s="65">
        <f>IF($C33="","",Y33*('⚙️ SUPUESTOS'!$C$12*'⚙️ SUPUESTOS'!$C$11+(1-'⚙️ SUPUESTOS'!$C$12)*'⚙️ SUPUESTOS'!$C$13))</f>
        <v>1927.4182389000005</v>
      </c>
      <c r="AB33" s="65">
        <f>IF($C33="","",IF(Y33&gt;0,ROUND(Y33*'⚙️ SUPUESTOS'!$C$12*'⚙️ SUPUESTOS'!$C$11,0),""))</f>
        <v>707</v>
      </c>
      <c r="AC33" s="65">
        <f>IF($C33="","",IF(Y33&gt;0,ROUND(Y33*(1-'⚙️ SUPUESTOS'!$C$12)*'⚙️ SUPUESTOS'!$C$13,0),""))</f>
        <v>1221</v>
      </c>
      <c r="AD33" s="65">
        <f t="shared" si="2"/>
        <v>20515</v>
      </c>
      <c r="AE33" s="64">
        <f t="shared" si="3"/>
        <v>14.356274337111127</v>
      </c>
      <c r="AF33" s="59" t="str">
        <f>IF($C33="","",IF(AE33="","—",IF(AE33&lt;='⚙️ SUPUESTOS'!$C$32,"✔ Muy recomendable",IF(AE33&lt;='⚙️ SUPUESTOS'!$C$33,"✔ Recomendable","Valorar"))))</f>
        <v>✔ Muy recomendable</v>
      </c>
      <c r="AG33" s="68">
        <f>IF('📇 INVENTARIO'!O34="","",'📇 INVENTARIO'!O34)</f>
        <v>41.648310000000002</v>
      </c>
      <c r="AH33" s="68">
        <f>IF('📇 INVENTARIO'!P34="","",'📇 INVENTARIO'!P34)</f>
        <v>-4.7089400000000001</v>
      </c>
    </row>
    <row r="34" spans="1:34" ht="45" customHeight="1">
      <c r="A34" s="69">
        <f>IF($C34="","",RANK(O34,$O$3:$O$265,0)+COUNTIF($O$3:O34,O34)-1)</f>
        <v>32</v>
      </c>
      <c r="B34" s="70" t="str">
        <f>IF($C34="","",IF(A34&lt;='⚙️ SUPUESTOS'!$C$29,"Fase 1",IF(A34&lt;='⚙️ SUPUESTOS'!$C$30,"Fase 2","Fase 3")))</f>
        <v>Fase 1</v>
      </c>
      <c r="C34" s="71" t="str">
        <f>IF('📇 INVENTARIO'!B35="","",'📇 INVENTARIO'!B35)</f>
        <v>C/ Villabáñez, 8</v>
      </c>
      <c r="D34" s="70" t="str">
        <f>IF('📇 INVENTARIO'!C35="","",'📇 INVENTARIO'!C35)</f>
        <v>7724201UM5172D</v>
      </c>
      <c r="E34" s="70" t="str">
        <f>IF('📇 INVENTARIO'!D35="","",'📇 INVENTARIO'!D35)</f>
        <v>4718606026</v>
      </c>
      <c r="F34" s="70" t="str">
        <f>IF('📇 INVENTARIO'!F35="","",'📇 INVENTARIO'!F35)</f>
        <v>E</v>
      </c>
      <c r="G34" s="72">
        <f>IF('📇 INVENTARIO'!G35="","",'📇 INVENTARIO'!G35)</f>
        <v>330</v>
      </c>
      <c r="H34" s="72">
        <f>IF('📇 INVENTARIO'!H35="","",'📇 INVENTARIO'!H35)</f>
        <v>70</v>
      </c>
      <c r="I34" s="72">
        <f>IF('📇 INVENTARIO'!I35="","",'📇 INVENTARIO'!I35)</f>
        <v>167.3</v>
      </c>
      <c r="J34" s="72">
        <f>IF('📇 INVENTARIO'!J35="","",'📇 INVENTARIO'!J35)</f>
        <v>1965</v>
      </c>
      <c r="K34" s="73">
        <f>IF($C34="","",(G34-'⚙️ SUPUESTOS'!$C$20)/('⚙️ SUPUESTOS'!$C$25-'⚙️ SUPUESTOS'!$C$20))</f>
        <v>0.32185886402753872</v>
      </c>
      <c r="L34" s="73">
        <f>IF($C34="","",VLOOKUP($E34,'📊 SECCIONES'!$B$4:$S$9,16,FALSE()))</f>
        <v>1</v>
      </c>
      <c r="M34" s="73">
        <f>IF($C34="","",VLOOKUP($E34,'📊 SECCIONES'!$B$4:$S$9,17,FALSE()))</f>
        <v>1</v>
      </c>
      <c r="N34" s="73">
        <f>IF($C34="","",VLOOKUP($E34,'📊 SECCIONES'!$B$4:$S$9,18,FALSE()))</f>
        <v>0</v>
      </c>
      <c r="O34" s="74">
        <f>IF($C34="","",ROUND('⚙️ SUPUESTOS'!$C$21*K34+'⚙️ SUPUESTOS'!$C$22*L34+'⚙️ SUPUESTOS'!$C$23*M34+'⚙️ SUPUESTOS'!$C$24*N34,4))</f>
        <v>0.53700000000000003</v>
      </c>
      <c r="P34" s="75">
        <f>IF($C34="","",VLOOKUP($E34,'📊 SECCIONES'!$B$4:$S$9,7,FALSE()))</f>
        <v>66.510000000000005</v>
      </c>
      <c r="Q34" s="76">
        <f>IF($C34="","",VLOOKUP($E34,'📊 SECCIONES'!$B$4:$S$9,8,FALSE()))</f>
        <v>17450</v>
      </c>
      <c r="R34" s="75">
        <f>IF($C34="","",VLOOKUP($E34,'📊 SECCIONES'!$B$4:$S$9,10,FALSE()))</f>
        <v>10.6</v>
      </c>
      <c r="S34" s="72">
        <f>IF('📇 INVENTARIO'!K35="","",'📇 INVENTARIO'!K35)</f>
        <v>3</v>
      </c>
      <c r="T34" s="77" t="str">
        <f t="shared" si="0"/>
        <v>Objetivo: alcanzar calificación C. Actual: Cal.E. SATE fachada + carpinterías doble + instalación fotovoltaica</v>
      </c>
      <c r="U34" s="70" t="str">
        <f t="shared" si="1"/>
        <v>—</v>
      </c>
      <c r="V34" s="78">
        <f>IF('📇 INVENTARIO'!L35="","",'📇 INVENTARIO'!L35)</f>
        <v>115.6</v>
      </c>
      <c r="W34" s="75">
        <f>IF($C34="","",V34*'⚙️ SUPUESTOS'!$C$8*'⚙️ SUPUESTOS'!$C$9)</f>
        <v>24.275999999999996</v>
      </c>
      <c r="X34" s="78">
        <f>IF('📇 INVENTARIO'!N35="","",'📇 INVENTARIO'!N35)</f>
        <v>1395</v>
      </c>
      <c r="Y34" s="78">
        <f>IF($C34="","",W34*X34*'⚙️ SUPUESTOS'!$C$7)</f>
        <v>30478.517999999996</v>
      </c>
      <c r="Z34" s="76">
        <f>IF($C34="","",W34*'⚙️ SUPUESTOS'!$C$10)</f>
        <v>32408.459999999995</v>
      </c>
      <c r="AA34" s="76">
        <f>IF($C34="","",Y34*('⚙️ SUPUESTOS'!$C$12*'⚙️ SUPUESTOS'!$C$11+(1-'⚙️ SUPUESTOS'!$C$12)*'⚙️ SUPUESTOS'!$C$13))</f>
        <v>2078.6349276000001</v>
      </c>
      <c r="AB34" s="76">
        <f>IF($C34="","",IF(Y34&gt;0,ROUND(Y34*'⚙️ SUPUESTOS'!$C$12*'⚙️ SUPUESTOS'!$C$11,0),""))</f>
        <v>762</v>
      </c>
      <c r="AC34" s="76">
        <f>IF($C34="","",IF(Y34&gt;0,ROUND(Y34*(1-'⚙️ SUPUESTOS'!$C$12)*'⚙️ SUPUESTOS'!$C$13,0),""))</f>
        <v>1317</v>
      </c>
      <c r="AD34" s="76">
        <f t="shared" si="2"/>
        <v>19557</v>
      </c>
      <c r="AE34" s="75">
        <f t="shared" si="3"/>
        <v>15.591222667185203</v>
      </c>
      <c r="AF34" s="70" t="str">
        <f>IF($C34="","",IF(AE34="","—",IF(AE34&lt;='⚙️ SUPUESTOS'!$C$32,"✔ Muy recomendable",IF(AE34&lt;='⚙️ SUPUESTOS'!$C$33,"✔ Recomendable","Valorar"))))</f>
        <v>✔ Recomendable</v>
      </c>
      <c r="AG34" s="79">
        <f>IF('📇 INVENTARIO'!O35="","",'📇 INVENTARIO'!O35)</f>
        <v>41.649540000000002</v>
      </c>
      <c r="AH34" s="79">
        <f>IF('📇 INVENTARIO'!P35="","",'📇 INVENTARIO'!P35)</f>
        <v>-4.7099399999999996</v>
      </c>
    </row>
    <row r="35" spans="1:34" ht="45" customHeight="1">
      <c r="A35" s="58">
        <f>IF($C35="","",RANK(O35,$O$3:$O$265,0)+COUNTIF($O$3:O35,O35)-1)</f>
        <v>33</v>
      </c>
      <c r="B35" s="59" t="str">
        <f>IF($C35="","",IF(A35&lt;='⚙️ SUPUESTOS'!$C$29,"Fase 1",IF(A35&lt;='⚙️ SUPUESTOS'!$C$30,"Fase 2","Fase 3")))</f>
        <v>Fase 1</v>
      </c>
      <c r="C35" s="60" t="str">
        <f>IF('📇 INVENTARIO'!B36="","",'📇 INVENTARIO'!B36)</f>
        <v>C/ Faisán, 5</v>
      </c>
      <c r="D35" s="59" t="str">
        <f>IF('📇 INVENTARIO'!C36="","",'📇 INVENTARIO'!C36)</f>
        <v>7724223UM5172D</v>
      </c>
      <c r="E35" s="59" t="str">
        <f>IF('📇 INVENTARIO'!D36="","",'📇 INVENTARIO'!D36)</f>
        <v>4718606026</v>
      </c>
      <c r="F35" s="59" t="str">
        <f>IF('📇 INVENTARIO'!F36="","",'📇 INVENTARIO'!F36)</f>
        <v>E</v>
      </c>
      <c r="G35" s="61">
        <f>IF('📇 INVENTARIO'!G36="","",'📇 INVENTARIO'!G36)</f>
        <v>328</v>
      </c>
      <c r="H35" s="61">
        <f>IF('📇 INVENTARIO'!H36="","",'📇 INVENTARIO'!H36)</f>
        <v>66.5</v>
      </c>
      <c r="I35" s="61">
        <f>IF('📇 INVENTARIO'!I36="","",'📇 INVENTARIO'!I36)</f>
        <v>186.2</v>
      </c>
      <c r="J35" s="61">
        <f>IF('📇 INVENTARIO'!J36="","",'📇 INVENTARIO'!J36)</f>
        <v>1965</v>
      </c>
      <c r="K35" s="62">
        <f>IF($C35="","",(G35-'⚙️ SUPUESTOS'!$C$20)/('⚙️ SUPUESTOS'!$C$25-'⚙️ SUPUESTOS'!$C$20))</f>
        <v>0.31841652323580033</v>
      </c>
      <c r="L35" s="62">
        <f>IF($C35="","",VLOOKUP($E35,'📊 SECCIONES'!$B$4:$S$9,16,FALSE()))</f>
        <v>1</v>
      </c>
      <c r="M35" s="62">
        <f>IF($C35="","",VLOOKUP($E35,'📊 SECCIONES'!$B$4:$S$9,17,FALSE()))</f>
        <v>1</v>
      </c>
      <c r="N35" s="62">
        <f>IF($C35="","",VLOOKUP($E35,'📊 SECCIONES'!$B$4:$S$9,18,FALSE()))</f>
        <v>0</v>
      </c>
      <c r="O35" s="63">
        <f>IF($C35="","",ROUND('⚙️ SUPUESTOS'!$C$21*K35+'⚙️ SUPUESTOS'!$C$22*L35+'⚙️ SUPUESTOS'!$C$23*M35+'⚙️ SUPUESTOS'!$C$24*N35,4))</f>
        <v>0.53510000000000002</v>
      </c>
      <c r="P35" s="64">
        <f>IF($C35="","",VLOOKUP($E35,'📊 SECCIONES'!$B$4:$S$9,7,FALSE()))</f>
        <v>66.510000000000005</v>
      </c>
      <c r="Q35" s="65">
        <f>IF($C35="","",VLOOKUP($E35,'📊 SECCIONES'!$B$4:$S$9,8,FALSE()))</f>
        <v>17450</v>
      </c>
      <c r="R35" s="64">
        <f>IF($C35="","",VLOOKUP($E35,'📊 SECCIONES'!$B$4:$S$9,10,FALSE()))</f>
        <v>10.6</v>
      </c>
      <c r="S35" s="61">
        <f>IF('📇 INVENTARIO'!K36="","",'📇 INVENTARIO'!K36)</f>
        <v>3</v>
      </c>
      <c r="T35" s="66" t="str">
        <f t="shared" si="0"/>
        <v>Objetivo: alcanzar calificación C. Actual: Cal.E. SATE fachada + carpinterías doble + instalación fotovoltaica</v>
      </c>
      <c r="U35" s="59" t="str">
        <f t="shared" si="1"/>
        <v>—</v>
      </c>
      <c r="V35" s="67">
        <f>IF('📇 INVENTARIO'!L36="","",'📇 INVENTARIO'!L36)</f>
        <v>97.8</v>
      </c>
      <c r="W35" s="64">
        <f>IF($C35="","",V35*'⚙️ SUPUESTOS'!$C$8*'⚙️ SUPUESTOS'!$C$9)</f>
        <v>20.538</v>
      </c>
      <c r="X35" s="67">
        <f>IF('📇 INVENTARIO'!N36="","",'📇 INVENTARIO'!N36)</f>
        <v>1446</v>
      </c>
      <c r="Y35" s="67">
        <f>IF($C35="","",W35*X35*'⚙️ SUPUESTOS'!$C$7)</f>
        <v>26728.153200000001</v>
      </c>
      <c r="Z35" s="65">
        <f>IF($C35="","",W35*'⚙️ SUPUESTOS'!$C$10)</f>
        <v>27418.23</v>
      </c>
      <c r="AA35" s="65">
        <f>IF($C35="","",Y35*('⚙️ SUPUESTOS'!$C$12*'⚙️ SUPUESTOS'!$C$11+(1-'⚙️ SUPUESTOS'!$C$12)*'⚙️ SUPUESTOS'!$C$13))</f>
        <v>1822.8600482400004</v>
      </c>
      <c r="AB35" s="65">
        <f>IF($C35="","",IF(Y35&gt;0,ROUND(Y35*'⚙️ SUPUESTOS'!$C$12*'⚙️ SUPUESTOS'!$C$11,0),""))</f>
        <v>668</v>
      </c>
      <c r="AC35" s="65">
        <f>IF($C35="","",IF(Y35&gt;0,ROUND(Y35*(1-'⚙️ SUPUESTOS'!$C$12)*'⚙️ SUPUESTOS'!$C$13,0),""))</f>
        <v>1155</v>
      </c>
      <c r="AD35" s="65">
        <f t="shared" si="2"/>
        <v>18153</v>
      </c>
      <c r="AE35" s="64">
        <f t="shared" si="3"/>
        <v>15.041324772284479</v>
      </c>
      <c r="AF35" s="59" t="str">
        <f>IF($C35="","",IF(AE35="","—",IF(AE35&lt;='⚙️ SUPUESTOS'!$C$32,"✔ Muy recomendable",IF(AE35&lt;='⚙️ SUPUESTOS'!$C$33,"✔ Recomendable","Valorar"))))</f>
        <v>✔ Recomendable</v>
      </c>
      <c r="AG35" s="68">
        <f>IF('📇 INVENTARIO'!O36="","",'📇 INVENTARIO'!O36)</f>
        <v>41.648690000000002</v>
      </c>
      <c r="AH35" s="68">
        <f>IF('📇 INVENTARIO'!P36="","",'📇 INVENTARIO'!P36)</f>
        <v>-4.7104200000000001</v>
      </c>
    </row>
    <row r="36" spans="1:34" ht="45" customHeight="1">
      <c r="A36" s="69">
        <f>IF($C36="","",RANK(O36,$O$3:$O$265,0)+COUNTIF($O$3:O36,O36)-1)</f>
        <v>34</v>
      </c>
      <c r="B36" s="70" t="str">
        <f>IF($C36="","",IF(A36&lt;='⚙️ SUPUESTOS'!$C$29,"Fase 1",IF(A36&lt;='⚙️ SUPUESTOS'!$C$30,"Fase 2","Fase 3")))</f>
        <v>Fase 1</v>
      </c>
      <c r="C36" s="71" t="str">
        <f>IF('📇 INVENTARIO'!B41="","",'📇 INVENTARIO'!B41)</f>
        <v>C/ Martín Pescador, 4</v>
      </c>
      <c r="D36" s="70" t="str">
        <f>IF('📇 INVENTARIO'!C41="","",'📇 INVENTARIO'!C41)</f>
        <v>7623001UM5172D</v>
      </c>
      <c r="E36" s="70" t="str">
        <f>IF('📇 INVENTARIO'!D41="","",'📇 INVENTARIO'!D41)</f>
        <v>4718606027</v>
      </c>
      <c r="F36" s="70" t="str">
        <f>IF('📇 INVENTARIO'!F41="","",'📇 INVENTARIO'!F41)</f>
        <v>G</v>
      </c>
      <c r="G36" s="72">
        <f>IF('📇 INVENTARIO'!G41="","",'📇 INVENTARIO'!G41)</f>
        <v>525</v>
      </c>
      <c r="H36" s="72">
        <f>IF('📇 INVENTARIO'!H41="","",'📇 INVENTARIO'!H41)</f>
        <v>89</v>
      </c>
      <c r="I36" s="72">
        <f>IF('📇 INVENTARIO'!I41="","",'📇 INVENTARIO'!I41)</f>
        <v>210.2</v>
      </c>
      <c r="J36" s="72">
        <f>IF('📇 INVENTARIO'!J41="","",'📇 INVENTARIO'!J41)</f>
        <v>1969</v>
      </c>
      <c r="K36" s="73">
        <f>IF($C36="","",(G36-'⚙️ SUPUESTOS'!$C$20)/('⚙️ SUPUESTOS'!$C$25-'⚙️ SUPUESTOS'!$C$20))</f>
        <v>0.65748709122203097</v>
      </c>
      <c r="L36" s="73">
        <f>IF($C36="","",VLOOKUP($E36,'📊 SECCIONES'!$B$4:$S$9,16,FALSE()))</f>
        <v>0.19481959841367916</v>
      </c>
      <c r="M36" s="73">
        <f>IF($C36="","",VLOOKUP($E36,'📊 SECCIONES'!$B$4:$S$9,17,FALSE()))</f>
        <v>0.2663212435233161</v>
      </c>
      <c r="N36" s="73">
        <f>IF($C36="","",VLOOKUP($E36,'📊 SECCIONES'!$B$4:$S$9,18,FALSE()))</f>
        <v>1</v>
      </c>
      <c r="O36" s="74">
        <f>IF($C36="","",ROUND('⚙️ SUPUESTOS'!$C$21*K36+'⚙️ SUPUESTOS'!$C$22*L36+'⚙️ SUPUESTOS'!$C$23*M36+'⚙️ SUPUESTOS'!$C$24*N36,4))</f>
        <v>0.53180000000000005</v>
      </c>
      <c r="P36" s="75">
        <f>IF($C36="","",VLOOKUP($E36,'📊 SECCIONES'!$B$4:$S$9,7,FALSE()))</f>
        <v>24.5</v>
      </c>
      <c r="Q36" s="76">
        <f>IF($C36="","",VLOOKUP($E36,'📊 SECCIONES'!$B$4:$S$9,8,FALSE()))</f>
        <v>25206</v>
      </c>
      <c r="R36" s="75">
        <f>IF($C36="","",VLOOKUP($E36,'📊 SECCIONES'!$B$4:$S$9,10,FALSE()))</f>
        <v>32.6</v>
      </c>
      <c r="S36" s="72">
        <f>IF('📇 INVENTARIO'!K41="","",'📇 INVENTARIO'!K41)</f>
        <v>6</v>
      </c>
      <c r="T36" s="77" t="str">
        <f t="shared" si="0"/>
        <v>Objetivo: alcanzar calificación C. Actual: Cal.G. SATE integral + cubierta + carpinterías triple + aerotermia + instalación fotovoltaica</v>
      </c>
      <c r="U36" s="70" t="str">
        <f t="shared" si="1"/>
        <v>Valorar ascensor (verificar)</v>
      </c>
      <c r="V36" s="78">
        <f>IF('📇 INVENTARIO'!L41="","",'📇 INVENTARIO'!L41)</f>
        <v>193.8</v>
      </c>
      <c r="W36" s="75">
        <f>IF($C36="","",V36*'⚙️ SUPUESTOS'!$C$8*'⚙️ SUPUESTOS'!$C$9)</f>
        <v>40.698</v>
      </c>
      <c r="X36" s="78">
        <f>IF('📇 INVENTARIO'!N41="","",'📇 INVENTARIO'!N41)</f>
        <v>1454</v>
      </c>
      <c r="Y36" s="78">
        <f>IF($C36="","",W36*X36*'⚙️ SUPUESTOS'!$C$7)</f>
        <v>53257.402800000003</v>
      </c>
      <c r="Z36" s="76">
        <f>IF($C36="","",W36*'⚙️ SUPUESTOS'!$C$10)</f>
        <v>54331.83</v>
      </c>
      <c r="AA36" s="76">
        <f>IF($C36="","",Y36*('⚙️ SUPUESTOS'!$C$12*'⚙️ SUPUESTOS'!$C$11+(1-'⚙️ SUPUESTOS'!$C$12)*'⚙️ SUPUESTOS'!$C$13))</f>
        <v>3632.1548709600006</v>
      </c>
      <c r="AB36" s="76">
        <f>IF($C36="","",IF(Y36&gt;0,ROUND(Y36*'⚙️ SUPUESTOS'!$C$12*'⚙️ SUPUESTOS'!$C$11,0),""))</f>
        <v>1331</v>
      </c>
      <c r="AC36" s="76">
        <f>IF($C36="","",IF(Y36&gt;0,ROUND(Y36*(1-'⚙️ SUPUESTOS'!$C$12)*'⚙️ SUPUESTOS'!$C$13,0),""))</f>
        <v>2301</v>
      </c>
      <c r="AD36" s="76">
        <f t="shared" si="2"/>
        <v>36472</v>
      </c>
      <c r="AE36" s="75">
        <f t="shared" si="3"/>
        <v>14.958566451666686</v>
      </c>
      <c r="AF36" s="70" t="str">
        <f>IF($C36="","",IF(AE36="","—",IF(AE36&lt;='⚙️ SUPUESTOS'!$C$32,"✔ Muy recomendable",IF(AE36&lt;='⚙️ SUPUESTOS'!$C$33,"✔ Recomendable","Valorar"))))</f>
        <v>✔ Muy recomendable</v>
      </c>
      <c r="AG36" s="79">
        <f>IF('📇 INVENTARIO'!O37="","",'📇 INVENTARIO'!O37)</f>
        <v>41.648499999999999</v>
      </c>
      <c r="AH36" s="79">
        <f>IF('📇 INVENTARIO'!P37="","",'📇 INVENTARIO'!P37)</f>
        <v>-4.7093699999999998</v>
      </c>
    </row>
    <row r="37" spans="1:34" ht="45" customHeight="1">
      <c r="A37" s="69">
        <f>IF($C37="","",RANK(O37,$O$3:$O$265,0)+COUNTIF($O$3:O37,O37)-1)</f>
        <v>35</v>
      </c>
      <c r="B37" s="70" t="str">
        <f>IF($C37="","",IF(A37&lt;='⚙️ SUPUESTOS'!$C$29,"Fase 1",IF(A37&lt;='⚙️ SUPUESTOS'!$C$30,"Fase 2","Fase 3")))</f>
        <v>Fase 1</v>
      </c>
      <c r="C37" s="71" t="str">
        <f>IF('📇 INVENTARIO'!B37="","",'📇 INVENTARIO'!B37)</f>
        <v>C/ Águila, 14</v>
      </c>
      <c r="D37" s="70" t="str">
        <f>IF('📇 INVENTARIO'!C37="","",'📇 INVENTARIO'!C37)</f>
        <v>7824516UM5172D</v>
      </c>
      <c r="E37" s="70" t="str">
        <f>IF('📇 INVENTARIO'!D37="","",'📇 INVENTARIO'!D37)</f>
        <v>4718606026</v>
      </c>
      <c r="F37" s="70" t="str">
        <f>IF('📇 INVENTARIO'!F37="","",'📇 INVENTARIO'!F37)</f>
        <v>F</v>
      </c>
      <c r="G37" s="72">
        <f>IF('📇 INVENTARIO'!G37="","",'📇 INVENTARIO'!G37)</f>
        <v>324</v>
      </c>
      <c r="H37" s="72">
        <f>IF('📇 INVENTARIO'!H37="","",'📇 INVENTARIO'!H37)</f>
        <v>59</v>
      </c>
      <c r="I37" s="72">
        <f>IF('📇 INVENTARIO'!I37="","",'📇 INVENTARIO'!I37)</f>
        <v>140.5</v>
      </c>
      <c r="J37" s="72">
        <f>IF('📇 INVENTARIO'!J37="","",'📇 INVENTARIO'!J37)</f>
        <v>1965</v>
      </c>
      <c r="K37" s="73">
        <f>IF($C37="","",(G37-'⚙️ SUPUESTOS'!$C$20)/('⚙️ SUPUESTOS'!$C$25-'⚙️ SUPUESTOS'!$C$20))</f>
        <v>0.31153184165232356</v>
      </c>
      <c r="L37" s="73">
        <f>IF($C37="","",VLOOKUP($E37,'📊 SECCIONES'!$B$4:$S$9,16,FALSE()))</f>
        <v>1</v>
      </c>
      <c r="M37" s="73">
        <f>IF($C37="","",VLOOKUP($E37,'📊 SECCIONES'!$B$4:$S$9,17,FALSE()))</f>
        <v>1</v>
      </c>
      <c r="N37" s="73">
        <f>IF($C37="","",VLOOKUP($E37,'📊 SECCIONES'!$B$4:$S$9,18,FALSE()))</f>
        <v>0</v>
      </c>
      <c r="O37" s="74">
        <f>IF($C37="","",ROUND('⚙️ SUPUESTOS'!$C$21*K37+'⚙️ SUPUESTOS'!$C$22*L37+'⚙️ SUPUESTOS'!$C$23*M37+'⚙️ SUPUESTOS'!$C$24*N37,4))</f>
        <v>0.53129999999999999</v>
      </c>
      <c r="P37" s="75">
        <f>IF($C37="","",VLOOKUP($E37,'📊 SECCIONES'!$B$4:$S$9,7,FALSE()))</f>
        <v>66.510000000000005</v>
      </c>
      <c r="Q37" s="76">
        <f>IF($C37="","",VLOOKUP($E37,'📊 SECCIONES'!$B$4:$S$9,8,FALSE()))</f>
        <v>17450</v>
      </c>
      <c r="R37" s="75">
        <f>IF($C37="","",VLOOKUP($E37,'📊 SECCIONES'!$B$4:$S$9,10,FALSE()))</f>
        <v>10.6</v>
      </c>
      <c r="S37" s="72">
        <f>IF('📇 INVENTARIO'!K37="","",'📇 INVENTARIO'!K37)</f>
        <v>3</v>
      </c>
      <c r="T37" s="77" t="str">
        <f t="shared" si="0"/>
        <v>Objetivo: alcanzar calificación C. Actual: Cal.F. SATE integral + cubierta + carpinterías triple + aerotermia + instalación fotovoltaica</v>
      </c>
      <c r="U37" s="70" t="str">
        <f t="shared" si="1"/>
        <v>—</v>
      </c>
      <c r="V37" s="78">
        <f>IF('📇 INVENTARIO'!L37="","",'📇 INVENTARIO'!L37)</f>
        <v>110.4</v>
      </c>
      <c r="W37" s="75">
        <f>IF($C37="","",V37*'⚙️ SUPUESTOS'!$C$8*'⚙️ SUPUESTOS'!$C$9)</f>
        <v>23.184000000000001</v>
      </c>
      <c r="X37" s="78">
        <f>IF('📇 INVENTARIO'!N37="","",'📇 INVENTARIO'!N37)</f>
        <v>1530</v>
      </c>
      <c r="Y37" s="78">
        <f>IF($C37="","",W37*X37*'⚙️ SUPUESTOS'!$C$7)</f>
        <v>31924.368000000006</v>
      </c>
      <c r="Z37" s="76">
        <f>IF($C37="","",W37*'⚙️ SUPUESTOS'!$C$10)</f>
        <v>30950.640000000003</v>
      </c>
      <c r="AA37" s="76">
        <f>IF($C37="","",Y37*('⚙️ SUPUESTOS'!$C$12*'⚙️ SUPUESTOS'!$C$11+(1-'⚙️ SUPUESTOS'!$C$12)*'⚙️ SUPUESTOS'!$C$13))</f>
        <v>2177.2418976000008</v>
      </c>
      <c r="AB37" s="76">
        <f>IF($C37="","",IF(Y37&gt;0,ROUND(Y37*'⚙️ SUPUESTOS'!$C$12*'⚙️ SUPUESTOS'!$C$11,0),""))</f>
        <v>798</v>
      </c>
      <c r="AC37" s="76">
        <f>IF($C37="","",IF(Y37&gt;0,ROUND(Y37*(1-'⚙️ SUPUESTOS'!$C$12)*'⚙️ SUPUESTOS'!$C$13,0),""))</f>
        <v>1379</v>
      </c>
      <c r="AD37" s="65">
        <f t="shared" si="2"/>
        <v>23480</v>
      </c>
      <c r="AE37" s="64">
        <f t="shared" si="3"/>
        <v>14.21552654949239</v>
      </c>
      <c r="AF37" s="59" t="str">
        <f>IF($C37="","",IF(AE37="","—",IF(AE37&lt;='⚙️ SUPUESTOS'!$C$32,"✔ Muy recomendable",IF(AE37&lt;='⚙️ SUPUESTOS'!$C$33,"✔ Recomendable","Valorar"))))</f>
        <v>✔ Muy recomendable</v>
      </c>
      <c r="AG37" s="68">
        <f>IF('📇 INVENTARIO'!O38="","",'📇 INVENTARIO'!O38)</f>
        <v>41.64922</v>
      </c>
      <c r="AH37" s="68">
        <f>IF('📇 INVENTARIO'!P38="","",'📇 INVENTARIO'!P38)</f>
        <v>-4.7112800000000004</v>
      </c>
    </row>
    <row r="38" spans="1:34" ht="45" customHeight="1">
      <c r="A38" s="58">
        <f>IF($C38="","",RANK(O38,$O$3:$O$265,0)+COUNTIF($O$3:O38,O38)-1)</f>
        <v>36</v>
      </c>
      <c r="B38" s="59" t="str">
        <f>IF($C38="","",IF(A38&lt;='⚙️ SUPUESTOS'!$C$29,"Fase 1",IF(A38&lt;='⚙️ SUPUESTOS'!$C$30,"Fase 2","Fase 3")))</f>
        <v>Fase 1</v>
      </c>
      <c r="C38" s="60" t="str">
        <f>IF('📇 INVENTARIO'!B38="","",'📇 INVENTARIO'!B38)</f>
        <v>C/ Salud, 15</v>
      </c>
      <c r="D38" s="59" t="str">
        <f>IF('📇 INVENTARIO'!C38="","",'📇 INVENTARIO'!C38)</f>
        <v>7625401UM5172F</v>
      </c>
      <c r="E38" s="59" t="str">
        <f>IF('📇 INVENTARIO'!D38="","",'📇 INVENTARIO'!D38)</f>
        <v>4718606026</v>
      </c>
      <c r="F38" s="59" t="str">
        <f>IF('📇 INVENTARIO'!F38="","",'📇 INVENTARIO'!F38)</f>
        <v>F</v>
      </c>
      <c r="G38" s="61">
        <f>IF('📇 INVENTARIO'!G38="","",'📇 INVENTARIO'!G38)</f>
        <v>322</v>
      </c>
      <c r="H38" s="61">
        <f>IF('📇 INVENTARIO'!H38="","",'📇 INVENTARIO'!H38)</f>
        <v>65</v>
      </c>
      <c r="I38" s="61">
        <f>IF('📇 INVENTARIO'!I38="","",'📇 INVENTARIO'!I38)</f>
        <v>183.9</v>
      </c>
      <c r="J38" s="61">
        <f>IF('📇 INVENTARIO'!J38="","",'📇 INVENTARIO'!J38)</f>
        <v>1958</v>
      </c>
      <c r="K38" s="62">
        <f>IF($C38="","",(G38-'⚙️ SUPUESTOS'!$C$20)/('⚙️ SUPUESTOS'!$C$25-'⚙️ SUPUESTOS'!$C$20))</f>
        <v>0.30808950086058517</v>
      </c>
      <c r="L38" s="62">
        <f>IF($C38="","",VLOOKUP($E38,'📊 SECCIONES'!$B$4:$S$9,16,FALSE()))</f>
        <v>1</v>
      </c>
      <c r="M38" s="62">
        <f>IF($C38="","",VLOOKUP($E38,'📊 SECCIONES'!$B$4:$S$9,17,FALSE()))</f>
        <v>1</v>
      </c>
      <c r="N38" s="62">
        <f>IF($C38="","",VLOOKUP($E38,'📊 SECCIONES'!$B$4:$S$9,18,FALSE()))</f>
        <v>0</v>
      </c>
      <c r="O38" s="63">
        <f>IF($C38="","",ROUND('⚙️ SUPUESTOS'!$C$21*K38+'⚙️ SUPUESTOS'!$C$22*L38+'⚙️ SUPUESTOS'!$C$23*M38+'⚙️ SUPUESTOS'!$C$24*N38,4))</f>
        <v>0.52939999999999998</v>
      </c>
      <c r="P38" s="64">
        <f>IF($C38="","",VLOOKUP($E38,'📊 SECCIONES'!$B$4:$S$9,7,FALSE()))</f>
        <v>66.510000000000005</v>
      </c>
      <c r="Q38" s="65">
        <f>IF($C38="","",VLOOKUP($E38,'📊 SECCIONES'!$B$4:$S$9,8,FALSE()))</f>
        <v>17450</v>
      </c>
      <c r="R38" s="64">
        <f>IF($C38="","",VLOOKUP($E38,'📊 SECCIONES'!$B$4:$S$9,10,FALSE()))</f>
        <v>10.6</v>
      </c>
      <c r="S38" s="61">
        <f>IF('📇 INVENTARIO'!K38="","",'📇 INVENTARIO'!K38)</f>
        <v>5</v>
      </c>
      <c r="T38" s="66" t="str">
        <f t="shared" si="0"/>
        <v>Objetivo: alcanzar calificación C. Actual: Cal.F. SATE integral + cubierta + carpinterías triple + aerotermia + instalación fotovoltaica</v>
      </c>
      <c r="U38" s="59" t="str">
        <f t="shared" si="1"/>
        <v>Valorar ascensor (verificar)</v>
      </c>
      <c r="V38" s="67">
        <f>IF('📇 INVENTARIO'!L38="","",'📇 INVENTARIO'!L38)</f>
        <v>330.5</v>
      </c>
      <c r="W38" s="64">
        <f>IF($C38="","",V38*'⚙️ SUPUESTOS'!$C$8*'⚙️ SUPUESTOS'!$C$9)</f>
        <v>69.405000000000001</v>
      </c>
      <c r="X38" s="67">
        <f>IF('📇 INVENTARIO'!N38="","",'📇 INVENTARIO'!N38)</f>
        <v>1373</v>
      </c>
      <c r="Y38" s="67">
        <f>IF($C38="","",W38*X38*'⚙️ SUPUESTOS'!$C$7)</f>
        <v>85763.758500000011</v>
      </c>
      <c r="Z38" s="65">
        <f>IF($C38="","",W38*'⚙️ SUPUESTOS'!$C$10)</f>
        <v>92655.675000000003</v>
      </c>
      <c r="AA38" s="65">
        <f>IF($C38="","",Y38*('⚙️ SUPUESTOS'!$C$12*'⚙️ SUPUESTOS'!$C$11+(1-'⚙️ SUPUESTOS'!$C$12)*'⚙️ SUPUESTOS'!$C$13))</f>
        <v>5849.0883297000019</v>
      </c>
      <c r="AB38" s="65">
        <f>IF($C38="","",IF(Y38&gt;0,ROUND(Y38*'⚙️ SUPUESTOS'!$C$12*'⚙️ SUPUESTOS'!$C$11,0),""))</f>
        <v>2144</v>
      </c>
      <c r="AC38" s="65">
        <f>IF($C38="","",IF(Y38&gt;0,ROUND(Y38*(1-'⚙️ SUPUESTOS'!$C$12)*'⚙️ SUPUESTOS'!$C$13,0),""))</f>
        <v>3705</v>
      </c>
      <c r="AD38" s="76">
        <f t="shared" si="2"/>
        <v>53572</v>
      </c>
      <c r="AE38" s="75">
        <f t="shared" si="3"/>
        <v>15.841045608684164</v>
      </c>
      <c r="AF38" s="70" t="str">
        <f>IF($C38="","",IF(AE38="","—",IF(AE38&lt;='⚙️ SUPUESTOS'!$C$32,"✔ Muy recomendable",IF(AE38&lt;='⚙️ SUPUESTOS'!$C$33,"✔ Recomendable","Valorar"))))</f>
        <v>✔ Recomendable</v>
      </c>
      <c r="AG38" s="79">
        <f>IF('📇 INVENTARIO'!O39="","",'📇 INVENTARIO'!O39)</f>
        <v>41.648919999999997</v>
      </c>
      <c r="AH38" s="79">
        <f>IF('📇 INVENTARIO'!P39="","",'📇 INVENTARIO'!P39)</f>
        <v>-4.7092200000000002</v>
      </c>
    </row>
    <row r="39" spans="1:34" ht="45" customHeight="1">
      <c r="A39" s="69">
        <f>IF($C39="","",RANK(O39,$O$3:$O$265,0)+COUNTIF($O$3:O39,O39)-1)</f>
        <v>37</v>
      </c>
      <c r="B39" s="70" t="str">
        <f>IF($C39="","",IF(A39&lt;='⚙️ SUPUESTOS'!$C$29,"Fase 1",IF(A39&lt;='⚙️ SUPUESTOS'!$C$30,"Fase 2","Fase 3")))</f>
        <v>Fase 1</v>
      </c>
      <c r="C39" s="71" t="str">
        <f>IF('📇 INVENTARIO'!B39="","",'📇 INVENTARIO'!B39)</f>
        <v>C/ Águila, 23</v>
      </c>
      <c r="D39" s="70" t="str">
        <f>IF('📇 INVENTARIO'!C39="","",'📇 INVENTARIO'!C39)</f>
        <v>7724210UM5172D</v>
      </c>
      <c r="E39" s="70" t="str">
        <f>IF('📇 INVENTARIO'!D39="","",'📇 INVENTARIO'!D39)</f>
        <v>4718606026</v>
      </c>
      <c r="F39" s="70" t="str">
        <f>IF('📇 INVENTARIO'!F39="","",'📇 INVENTARIO'!F39)</f>
        <v>G</v>
      </c>
      <c r="G39" s="72">
        <f>IF('📇 INVENTARIO'!G39="","",'📇 INVENTARIO'!G39)</f>
        <v>318</v>
      </c>
      <c r="H39" s="72">
        <f>IF('📇 INVENTARIO'!H39="","",'📇 INVENTARIO'!H39)</f>
        <v>59.5</v>
      </c>
      <c r="I39" s="72">
        <f>IF('📇 INVENTARIO'!I39="","",'📇 INVENTARIO'!I39)</f>
        <v>117.8</v>
      </c>
      <c r="J39" s="72">
        <f>IF('📇 INVENTARIO'!J39="","",'📇 INVENTARIO'!J39)</f>
        <v>1965</v>
      </c>
      <c r="K39" s="73">
        <f>IF($C39="","",(G39-'⚙️ SUPUESTOS'!$C$20)/('⚙️ SUPUESTOS'!$C$25-'⚙️ SUPUESTOS'!$C$20))</f>
        <v>0.30120481927710846</v>
      </c>
      <c r="L39" s="73">
        <f>IF($C39="","",VLOOKUP($E39,'📊 SECCIONES'!$B$4:$S$9,16,FALSE()))</f>
        <v>1</v>
      </c>
      <c r="M39" s="73">
        <f>IF($C39="","",VLOOKUP($E39,'📊 SECCIONES'!$B$4:$S$9,17,FALSE()))</f>
        <v>1</v>
      </c>
      <c r="N39" s="73">
        <f>IF($C39="","",VLOOKUP($E39,'📊 SECCIONES'!$B$4:$S$9,18,FALSE()))</f>
        <v>0</v>
      </c>
      <c r="O39" s="74">
        <f>IF($C39="","",ROUND('⚙️ SUPUESTOS'!$C$21*K39+'⚙️ SUPUESTOS'!$C$22*L39+'⚙️ SUPUESTOS'!$C$23*M39+'⚙️ SUPUESTOS'!$C$24*N39,4))</f>
        <v>0.52569999999999995</v>
      </c>
      <c r="P39" s="75">
        <f>IF($C39="","",VLOOKUP($E39,'📊 SECCIONES'!$B$4:$S$9,7,FALSE()))</f>
        <v>66.510000000000005</v>
      </c>
      <c r="Q39" s="76">
        <f>IF($C39="","",VLOOKUP($E39,'📊 SECCIONES'!$B$4:$S$9,8,FALSE()))</f>
        <v>17450</v>
      </c>
      <c r="R39" s="75">
        <f>IF($C39="","",VLOOKUP($E39,'📊 SECCIONES'!$B$4:$S$9,10,FALSE()))</f>
        <v>10.6</v>
      </c>
      <c r="S39" s="72">
        <f>IF('📇 INVENTARIO'!K39="","",'📇 INVENTARIO'!K39)</f>
        <v>3</v>
      </c>
      <c r="T39" s="77" t="str">
        <f t="shared" si="0"/>
        <v>Objetivo: alcanzar calificación C. Actual: Cal.G. SATE integral + cubierta + carpinterías triple + aerotermia + instalación fotovoltaica</v>
      </c>
      <c r="U39" s="70" t="str">
        <f t="shared" si="1"/>
        <v>—</v>
      </c>
      <c r="V39" s="78">
        <f>IF('📇 INVENTARIO'!L39="","",'📇 INVENTARIO'!L39)</f>
        <v>97.1</v>
      </c>
      <c r="W39" s="75">
        <f>IF($C39="","",V39*'⚙️ SUPUESTOS'!$C$8*'⚙️ SUPUESTOS'!$C$9)</f>
        <v>20.390999999999998</v>
      </c>
      <c r="X39" s="78">
        <f>IF('📇 INVENTARIO'!N39="","",'📇 INVENTARIO'!N39)</f>
        <v>1556</v>
      </c>
      <c r="Y39" s="78">
        <f>IF($C39="","",W39*X39*'⚙️ SUPUESTOS'!$C$7)</f>
        <v>28555.556399999998</v>
      </c>
      <c r="Z39" s="76">
        <f>IF($C39="","",W39*'⚙️ SUPUESTOS'!$C$10)</f>
        <v>27221.984999999997</v>
      </c>
      <c r="AA39" s="76">
        <f>IF($C39="","",Y39*('⚙️ SUPUESTOS'!$C$12*'⚙️ SUPUESTOS'!$C$11+(1-'⚙️ SUPUESTOS'!$C$12)*'⚙️ SUPUESTOS'!$C$13))</f>
        <v>1947.4889464800001</v>
      </c>
      <c r="AB39" s="76">
        <f>IF($C39="","",IF(Y39&gt;0,ROUND(Y39*'⚙️ SUPUESTOS'!$C$12*'⚙️ SUPUESTOS'!$C$11,0),""))</f>
        <v>714</v>
      </c>
      <c r="AC39" s="76">
        <f>IF($C39="","",IF(Y39&gt;0,ROUND(Y39*(1-'⚙️ SUPUESTOS'!$C$12)*'⚙️ SUPUESTOS'!$C$13,0),""))</f>
        <v>1234</v>
      </c>
      <c r="AD39" s="65">
        <f t="shared" si="2"/>
        <v>21465</v>
      </c>
      <c r="AE39" s="64">
        <f t="shared" si="3"/>
        <v>13.977992044166683</v>
      </c>
      <c r="AF39" s="59" t="str">
        <f>IF($C39="","",IF(AE39="","—",IF(AE39&lt;='⚙️ SUPUESTOS'!$C$32,"✔ Muy recomendable",IF(AE39&lt;='⚙️ SUPUESTOS'!$C$33,"✔ Recomendable","Valorar"))))</f>
        <v>✔ Muy recomendable</v>
      </c>
      <c r="AG39" s="68">
        <f>IF('📇 INVENTARIO'!O40="","",'📇 INVENTARIO'!O40)</f>
        <v>41.648760000000003</v>
      </c>
      <c r="AH39" s="68">
        <f>IF('📇 INVENTARIO'!P40="","",'📇 INVENTARIO'!P40)</f>
        <v>-4.7105600000000001</v>
      </c>
    </row>
    <row r="40" spans="1:34" ht="45" customHeight="1">
      <c r="A40" s="58">
        <f>IF($C40="","",RANK(O40,$O$3:$O$265,0)+COUNTIF($O$3:O40,O40)-1)</f>
        <v>38</v>
      </c>
      <c r="B40" s="59" t="str">
        <f>IF($C40="","",IF(A40&lt;='⚙️ SUPUESTOS'!$C$29,"Fase 1",IF(A40&lt;='⚙️ SUPUESTOS'!$C$30,"Fase 2","Fase 3")))</f>
        <v>Fase 1</v>
      </c>
      <c r="C40" s="60" t="str">
        <f>IF('📇 INVENTARIO'!B40="","",'📇 INVENTARIO'!B40)</f>
        <v>C/ Faisán, 3</v>
      </c>
      <c r="D40" s="59" t="str">
        <f>IF('📇 INVENTARIO'!C40="","",'📇 INVENTARIO'!C40)</f>
        <v>7724224UM5172D</v>
      </c>
      <c r="E40" s="59" t="str">
        <f>IF('📇 INVENTARIO'!D40="","",'📇 INVENTARIO'!D40)</f>
        <v>4718606026</v>
      </c>
      <c r="F40" s="59" t="str">
        <f>IF('📇 INVENTARIO'!F40="","",'📇 INVENTARIO'!F40)</f>
        <v>E</v>
      </c>
      <c r="G40" s="61">
        <f>IF('📇 INVENTARIO'!G40="","",'📇 INVENTARIO'!G40)</f>
        <v>315</v>
      </c>
      <c r="H40" s="61">
        <f>IF('📇 INVENTARIO'!H40="","",'📇 INVENTARIO'!H40)</f>
        <v>66.5</v>
      </c>
      <c r="I40" s="61">
        <f>IF('📇 INVENTARIO'!I40="","",'📇 INVENTARIO'!I40)</f>
        <v>134.69999999999999</v>
      </c>
      <c r="J40" s="61">
        <f>IF('📇 INVENTARIO'!J40="","",'📇 INVENTARIO'!J40)</f>
        <v>1965</v>
      </c>
      <c r="K40" s="62">
        <f>IF($C40="","",(G40-'⚙️ SUPUESTOS'!$C$20)/('⚙️ SUPUESTOS'!$C$25-'⚙️ SUPUESTOS'!$C$20))</f>
        <v>0.29604130808950085</v>
      </c>
      <c r="L40" s="62">
        <f>IF($C40="","",VLOOKUP($E40,'📊 SECCIONES'!$B$4:$S$9,16,FALSE()))</f>
        <v>1</v>
      </c>
      <c r="M40" s="62">
        <f>IF($C40="","",VLOOKUP($E40,'📊 SECCIONES'!$B$4:$S$9,17,FALSE()))</f>
        <v>1</v>
      </c>
      <c r="N40" s="62">
        <f>IF($C40="","",VLOOKUP($E40,'📊 SECCIONES'!$B$4:$S$9,18,FALSE()))</f>
        <v>0</v>
      </c>
      <c r="O40" s="63">
        <f>IF($C40="","",ROUND('⚙️ SUPUESTOS'!$C$21*K40+'⚙️ SUPUESTOS'!$C$22*L40+'⚙️ SUPUESTOS'!$C$23*M40+'⚙️ SUPUESTOS'!$C$24*N40,4))</f>
        <v>0.52280000000000004</v>
      </c>
      <c r="P40" s="64">
        <f>IF($C40="","",VLOOKUP($E40,'📊 SECCIONES'!$B$4:$S$9,7,FALSE()))</f>
        <v>66.510000000000005</v>
      </c>
      <c r="Q40" s="65">
        <f>IF($C40="","",VLOOKUP($E40,'📊 SECCIONES'!$B$4:$S$9,8,FALSE()))</f>
        <v>17450</v>
      </c>
      <c r="R40" s="64">
        <f>IF($C40="","",VLOOKUP($E40,'📊 SECCIONES'!$B$4:$S$9,10,FALSE()))</f>
        <v>10.6</v>
      </c>
      <c r="S40" s="61">
        <f>IF('📇 INVENTARIO'!K40="","",'📇 INVENTARIO'!K40)</f>
        <v>3</v>
      </c>
      <c r="T40" s="66" t="str">
        <f t="shared" si="0"/>
        <v>Objetivo: alcanzar calificación C. Actual: Cal.E. SATE fachada + carpinterías doble + instalación fotovoltaica</v>
      </c>
      <c r="U40" s="59" t="str">
        <f t="shared" si="1"/>
        <v>—</v>
      </c>
      <c r="V40" s="67">
        <f>IF('📇 INVENTARIO'!L40="","",'📇 INVENTARIO'!L40)</f>
        <v>100.2</v>
      </c>
      <c r="W40" s="64">
        <f>IF($C40="","",V40*'⚙️ SUPUESTOS'!$C$8*'⚙️ SUPUESTOS'!$C$9)</f>
        <v>21.042000000000002</v>
      </c>
      <c r="X40" s="67">
        <f>IF('📇 INVENTARIO'!N40="","",'📇 INVENTARIO'!N40)</f>
        <v>1380</v>
      </c>
      <c r="Y40" s="67">
        <f>IF($C40="","",W40*X40*'⚙️ SUPUESTOS'!$C$7)</f>
        <v>26134.164000000004</v>
      </c>
      <c r="Z40" s="65">
        <f>IF($C40="","",W40*'⚙️ SUPUESTOS'!$C$10)</f>
        <v>28091.070000000003</v>
      </c>
      <c r="AA40" s="65">
        <f>IF($C40="","",Y40*('⚙️ SUPUESTOS'!$C$12*'⚙️ SUPUESTOS'!$C$11+(1-'⚙️ SUPUESTOS'!$C$12)*'⚙️ SUPUESTOS'!$C$13))</f>
        <v>1782.3499848000006</v>
      </c>
      <c r="AB40" s="65">
        <f>IF($C40="","",IF(Y40&gt;0,ROUND(Y40*'⚙️ SUPUESTOS'!$C$12*'⚙️ SUPUESTOS'!$C$11,0),""))</f>
        <v>653</v>
      </c>
      <c r="AC40" s="65">
        <f>IF($C40="","",IF(Y40&gt;0,ROUND(Y40*(1-'⚙️ SUPUESTOS'!$C$12)*'⚙️ SUPUESTOS'!$C$13,0),""))</f>
        <v>1129</v>
      </c>
      <c r="AD40" s="76">
        <f t="shared" si="2"/>
        <v>16468</v>
      </c>
      <c r="AE40" s="75">
        <f t="shared" si="3"/>
        <v>15.760692478785042</v>
      </c>
      <c r="AF40" s="70" t="str">
        <f>IF($C40="","",IF(AE40="","—",IF(AE40&lt;='⚙️ SUPUESTOS'!$C$32,"✔ Muy recomendable",IF(AE40&lt;='⚙️ SUPUESTOS'!$C$33,"✔ Recomendable","Valorar"))))</f>
        <v>✔ Recomendable</v>
      </c>
      <c r="AG40" s="79">
        <f>IF('📇 INVENTARIO'!O41="","",'📇 INVENTARIO'!O41)</f>
        <v>41.648107000000003</v>
      </c>
      <c r="AH40" s="79">
        <f>IF('📇 INVENTARIO'!P41="","",'📇 INVENTARIO'!P41)</f>
        <v>-4.7109009999999998</v>
      </c>
    </row>
    <row r="41" spans="1:34" ht="45" customHeight="1">
      <c r="A41" s="58">
        <f>IF($C41="","",RANK(O41,$O$3:$O$265,0)+COUNTIF($O$3:O41,O41)-1)</f>
        <v>39</v>
      </c>
      <c r="B41" s="59" t="str">
        <f>IF($C41="","",IF(A41&lt;='⚙️ SUPUESTOS'!$C$29,"Fase 1",IF(A41&lt;='⚙️ SUPUESTOS'!$C$30,"Fase 2","Fase 3")))</f>
        <v>Fase 1</v>
      </c>
      <c r="C41" s="60" t="str">
        <f>IF('📇 INVENTARIO'!B42="","",'📇 INVENTARIO'!B42)</f>
        <v>C/ Pavo Real, 20</v>
      </c>
      <c r="D41" s="59" t="str">
        <f>IF('📇 INVENTARIO'!C42="","",'📇 INVENTARIO'!C42)</f>
        <v>7724229UM5172D</v>
      </c>
      <c r="E41" s="59" t="str">
        <f>IF('📇 INVENTARIO'!D42="","",'📇 INVENTARIO'!D42)</f>
        <v>4718606026</v>
      </c>
      <c r="F41" s="59" t="str">
        <f>IF('📇 INVENTARIO'!F42="","",'📇 INVENTARIO'!F42)</f>
        <v>F</v>
      </c>
      <c r="G41" s="61">
        <f>IF('📇 INVENTARIO'!G42="","",'📇 INVENTARIO'!G42)</f>
        <v>313</v>
      </c>
      <c r="H41" s="61">
        <f>IF('📇 INVENTARIO'!H42="","",'📇 INVENTARIO'!H42)</f>
        <v>66</v>
      </c>
      <c r="I41" s="61">
        <f>IF('📇 INVENTARIO'!I42="","",'📇 INVENTARIO'!I42)</f>
        <v>126.2</v>
      </c>
      <c r="J41" s="61">
        <f>IF('📇 INVENTARIO'!J42="","",'📇 INVENTARIO'!J42)</f>
        <v>1965</v>
      </c>
      <c r="K41" s="62">
        <f>IF($C41="","",(G41-'⚙️ SUPUESTOS'!$C$20)/('⚙️ SUPUESTOS'!$C$25-'⚙️ SUPUESTOS'!$C$20))</f>
        <v>0.29259896729776247</v>
      </c>
      <c r="L41" s="62">
        <f>IF($C41="","",VLOOKUP($E41,'📊 SECCIONES'!$B$4:$S$9,16,FALSE()))</f>
        <v>1</v>
      </c>
      <c r="M41" s="62">
        <f>IF($C41="","",VLOOKUP($E41,'📊 SECCIONES'!$B$4:$S$9,17,FALSE()))</f>
        <v>1</v>
      </c>
      <c r="N41" s="62">
        <f>IF($C41="","",VLOOKUP($E41,'📊 SECCIONES'!$B$4:$S$9,18,FALSE()))</f>
        <v>0</v>
      </c>
      <c r="O41" s="63">
        <f>IF($C41="","",ROUND('⚙️ SUPUESTOS'!$C$21*K41+'⚙️ SUPUESTOS'!$C$22*L41+'⚙️ SUPUESTOS'!$C$23*M41+'⚙️ SUPUESTOS'!$C$24*N41,4))</f>
        <v>0.52090000000000003</v>
      </c>
      <c r="P41" s="64">
        <f>IF($C41="","",VLOOKUP($E41,'📊 SECCIONES'!$B$4:$S$9,7,FALSE()))</f>
        <v>66.510000000000005</v>
      </c>
      <c r="Q41" s="65">
        <f>IF($C41="","",VLOOKUP($E41,'📊 SECCIONES'!$B$4:$S$9,8,FALSE()))</f>
        <v>17450</v>
      </c>
      <c r="R41" s="64">
        <f>IF($C41="","",VLOOKUP($E41,'📊 SECCIONES'!$B$4:$S$9,10,FALSE()))</f>
        <v>10.6</v>
      </c>
      <c r="S41" s="61">
        <f>IF('📇 INVENTARIO'!K42="","",'📇 INVENTARIO'!K42)</f>
        <v>3</v>
      </c>
      <c r="T41" s="66" t="str">
        <f t="shared" si="0"/>
        <v>Objetivo: alcanzar calificación C. Actual: Cal.F. SATE integral + cubierta + carpinterías triple + aerotermia + instalación fotovoltaica</v>
      </c>
      <c r="U41" s="59" t="str">
        <f t="shared" si="1"/>
        <v>—</v>
      </c>
      <c r="V41" s="67">
        <f>IF('📇 INVENTARIO'!L42="","",'📇 INVENTARIO'!L42)</f>
        <v>103.4</v>
      </c>
      <c r="W41" s="64">
        <f>IF($C41="","",V41*'⚙️ SUPUESTOS'!$C$8*'⚙️ SUPUESTOS'!$C$9)</f>
        <v>21.713999999999999</v>
      </c>
      <c r="X41" s="67">
        <f>IF('📇 INVENTARIO'!N42="","",'📇 INVENTARIO'!N42)</f>
        <v>1337</v>
      </c>
      <c r="Y41" s="67">
        <f>IF($C41="","",W41*X41*'⚙️ SUPUESTOS'!$C$7)</f>
        <v>26128.456200000001</v>
      </c>
      <c r="Z41" s="65">
        <f>IF($C41="","",W41*'⚙️ SUPUESTOS'!$C$10)</f>
        <v>28988.19</v>
      </c>
      <c r="AA41" s="65">
        <f>IF($C41="","",Y41*('⚙️ SUPUESTOS'!$C$12*'⚙️ SUPUESTOS'!$C$11+(1-'⚙️ SUPUESTOS'!$C$12)*'⚙️ SUPUESTOS'!$C$13))</f>
        <v>1781.9607128400003</v>
      </c>
      <c r="AB41" s="65">
        <f>IF($C41="","",IF(Y41&gt;0,ROUND(Y41*'⚙️ SUPUESTOS'!$C$12*'⚙️ SUPUESTOS'!$C$11,0),""))</f>
        <v>653</v>
      </c>
      <c r="AC41" s="65">
        <f>IF($C41="","",IF(Y41&gt;0,ROUND(Y41*(1-'⚙️ SUPUESTOS'!$C$12)*'⚙️ SUPUESTOS'!$C$13,0),""))</f>
        <v>1129</v>
      </c>
      <c r="AD41" s="65">
        <f t="shared" si="2"/>
        <v>15561</v>
      </c>
      <c r="AE41" s="64">
        <f t="shared" si="3"/>
        <v>16.267580868155093</v>
      </c>
      <c r="AF41" s="59" t="str">
        <f>IF($C41="","",IF(AE41="","—",IF(AE41&lt;='⚙️ SUPUESTOS'!$C$32,"✔ Muy recomendable",IF(AE41&lt;='⚙️ SUPUESTOS'!$C$33,"✔ Recomendable","Valorar"))))</f>
        <v>Valorar</v>
      </c>
      <c r="AG41" s="68">
        <f>IF('📇 INVENTARIO'!O42="","",'📇 INVENTARIO'!O42)</f>
        <v>41.64958</v>
      </c>
      <c r="AH41" s="68">
        <f>IF('📇 INVENTARIO'!P42="","",'📇 INVENTARIO'!P42)</f>
        <v>-4.7102399999999998</v>
      </c>
    </row>
    <row r="42" spans="1:34" ht="45" customHeight="1">
      <c r="A42" s="69">
        <f>IF($C42="","",RANK(O42,$O$3:$O$265,0)+COUNTIF($O$3:O42,O42)-1)</f>
        <v>40</v>
      </c>
      <c r="B42" s="70" t="str">
        <f>IF($C42="","",IF(A42&lt;='⚙️ SUPUESTOS'!$C$29,"Fase 1",IF(A42&lt;='⚙️ SUPUESTOS'!$C$30,"Fase 2","Fase 3")))</f>
        <v>Fase 1</v>
      </c>
      <c r="C42" s="71" t="str">
        <f>IF('📇 INVENTARIO'!B43="","",'📇 INVENTARIO'!B43)</f>
        <v>C/ Villabáñez, 6</v>
      </c>
      <c r="D42" s="70" t="str">
        <f>IF('📇 INVENTARIO'!C43="","",'📇 INVENTARIO'!C43)</f>
        <v>7625402UM5172F</v>
      </c>
      <c r="E42" s="70" t="str">
        <f>IF('📇 INVENTARIO'!D43="","",'📇 INVENTARIO'!D43)</f>
        <v>4718606026</v>
      </c>
      <c r="F42" s="70" t="str">
        <f>IF('📇 INVENTARIO'!F43="","",'📇 INVENTARIO'!F43)</f>
        <v>F</v>
      </c>
      <c r="G42" s="72">
        <f>IF('📇 INVENTARIO'!G43="","",'📇 INVENTARIO'!G43)</f>
        <v>312</v>
      </c>
      <c r="H42" s="72">
        <f>IF('📇 INVENTARIO'!H43="","",'📇 INVENTARIO'!H43)</f>
        <v>65</v>
      </c>
      <c r="I42" s="72">
        <f>IF('📇 INVENTARIO'!I43="","",'📇 INVENTARIO'!I43)</f>
        <v>146.1</v>
      </c>
      <c r="J42" s="72">
        <f>IF('📇 INVENTARIO'!J43="","",'📇 INVENTARIO'!J43)</f>
        <v>1965</v>
      </c>
      <c r="K42" s="73">
        <f>IF($C42="","",(G42-'⚙️ SUPUESTOS'!$C$20)/('⚙️ SUPUESTOS'!$C$25-'⚙️ SUPUESTOS'!$C$20))</f>
        <v>0.2908777969018933</v>
      </c>
      <c r="L42" s="73">
        <f>IF($C42="","",VLOOKUP($E42,'📊 SECCIONES'!$B$4:$S$9,16,FALSE()))</f>
        <v>1</v>
      </c>
      <c r="M42" s="73">
        <f>IF($C42="","",VLOOKUP($E42,'📊 SECCIONES'!$B$4:$S$9,17,FALSE()))</f>
        <v>1</v>
      </c>
      <c r="N42" s="73">
        <f>IF($C42="","",VLOOKUP($E42,'📊 SECCIONES'!$B$4:$S$9,18,FALSE()))</f>
        <v>0</v>
      </c>
      <c r="O42" s="74">
        <f>IF($C42="","",ROUND('⚙️ SUPUESTOS'!$C$21*K42+'⚙️ SUPUESTOS'!$C$22*L42+'⚙️ SUPUESTOS'!$C$23*M42+'⚙️ SUPUESTOS'!$C$24*N42,4))</f>
        <v>0.52</v>
      </c>
      <c r="P42" s="75">
        <f>IF($C42="","",VLOOKUP($E42,'📊 SECCIONES'!$B$4:$S$9,7,FALSE()))</f>
        <v>66.510000000000005</v>
      </c>
      <c r="Q42" s="76">
        <f>IF($C42="","",VLOOKUP($E42,'📊 SECCIONES'!$B$4:$S$9,8,FALSE()))</f>
        <v>17450</v>
      </c>
      <c r="R42" s="75">
        <f>IF($C42="","",VLOOKUP($E42,'📊 SECCIONES'!$B$4:$S$9,10,FALSE()))</f>
        <v>10.6</v>
      </c>
      <c r="S42" s="72">
        <f>IF('📇 INVENTARIO'!K43="","",'📇 INVENTARIO'!K43)</f>
        <v>3</v>
      </c>
      <c r="T42" s="77" t="str">
        <f t="shared" si="0"/>
        <v>Objetivo: alcanzar calificación C. Actual: Cal.F. SATE integral + cubierta + carpinterías triple + aerotermia + instalación fotovoltaica</v>
      </c>
      <c r="U42" s="70" t="str">
        <f t="shared" si="1"/>
        <v>—</v>
      </c>
      <c r="V42" s="78">
        <f>IF('📇 INVENTARIO'!L43="","",'📇 INVENTARIO'!L43)</f>
        <v>115.9</v>
      </c>
      <c r="W42" s="75">
        <f>IF($C42="","",V42*'⚙️ SUPUESTOS'!$C$8*'⚙️ SUPUESTOS'!$C$9)</f>
        <v>24.338999999999999</v>
      </c>
      <c r="X42" s="78">
        <f>IF('📇 INVENTARIO'!N43="","",'📇 INVENTARIO'!N43)</f>
        <v>1378</v>
      </c>
      <c r="Y42" s="78">
        <f>IF($C42="","",W42*X42*'⚙️ SUPUESTOS'!$C$7)</f>
        <v>30185.227800000001</v>
      </c>
      <c r="Z42" s="76">
        <f>IF($C42="","",W42*'⚙️ SUPUESTOS'!$C$10)</f>
        <v>32492.564999999999</v>
      </c>
      <c r="AA42" s="76">
        <f>IF($C42="","",Y42*('⚙️ SUPUESTOS'!$C$12*'⚙️ SUPUESTOS'!$C$11+(1-'⚙️ SUPUESTOS'!$C$12)*'⚙️ SUPUESTOS'!$C$13))</f>
        <v>2058.6325359600005</v>
      </c>
      <c r="AB42" s="76">
        <f>IF($C42="","",IF(Y42&gt;0,ROUND(Y42*'⚙️ SUPUESTOS'!$C$12*'⚙️ SUPUESTOS'!$C$11,0),""))</f>
        <v>755</v>
      </c>
      <c r="AC42" s="76">
        <f>IF($C42="","",IF(Y42&gt;0,ROUND(Y42*(1-'⚙️ SUPUESTOS'!$C$12)*'⚙️ SUPUESTOS'!$C$13,0),""))</f>
        <v>1304</v>
      </c>
      <c r="AD42" s="76">
        <f t="shared" si="2"/>
        <v>18973</v>
      </c>
      <c r="AE42" s="75">
        <f t="shared" si="3"/>
        <v>15.783567213877618</v>
      </c>
      <c r="AF42" s="70" t="str">
        <f>IF($C42="","",IF(AE42="","—",IF(AE42&lt;='⚙️ SUPUESTOS'!$C$32,"✔ Muy recomendable",IF(AE42&lt;='⚙️ SUPUESTOS'!$C$33,"✔ Recomendable","Valorar"))))</f>
        <v>✔ Recomendable</v>
      </c>
      <c r="AG42" s="79">
        <f>IF('📇 INVENTARIO'!O43="","",'📇 INVENTARIO'!O43)</f>
        <v>41.649740000000001</v>
      </c>
      <c r="AH42" s="79">
        <f>IF('📇 INVENTARIO'!P43="","",'📇 INVENTARIO'!P43)</f>
        <v>-4.7103599999999997</v>
      </c>
    </row>
    <row r="43" spans="1:34" ht="45" customHeight="1">
      <c r="A43" s="58">
        <f>IF($C43="","",RANK(O43,$O$3:$O$265,0)+COUNTIF($O$3:O43,O43)-1)</f>
        <v>41</v>
      </c>
      <c r="B43" s="59" t="str">
        <f>IF($C43="","",IF(A43&lt;='⚙️ SUPUESTOS'!$C$29,"Fase 1",IF(A43&lt;='⚙️ SUPUESTOS'!$C$30,"Fase 2","Fase 3")))</f>
        <v>Fase 1</v>
      </c>
      <c r="C43" s="60" t="str">
        <f>IF('📇 INVENTARIO'!B44="","",'📇 INVENTARIO'!B44)</f>
        <v>C/ Pavo Real, 23</v>
      </c>
      <c r="D43" s="59" t="str">
        <f>IF('📇 INVENTARIO'!C44="","",'📇 INVENTARIO'!C44)</f>
        <v>7625403UM5172F</v>
      </c>
      <c r="E43" s="59" t="str">
        <f>IF('📇 INVENTARIO'!D44="","",'📇 INVENTARIO'!D44)</f>
        <v>4718606026</v>
      </c>
      <c r="F43" s="59" t="str">
        <f>IF('📇 INVENTARIO'!F44="","",'📇 INVENTARIO'!F44)</f>
        <v>F</v>
      </c>
      <c r="G43" s="61">
        <f>IF('📇 INVENTARIO'!G44="","",'📇 INVENTARIO'!G44)</f>
        <v>306</v>
      </c>
      <c r="H43" s="61">
        <f>IF('📇 INVENTARIO'!H44="","",'📇 INVENTARIO'!H44)</f>
        <v>65</v>
      </c>
      <c r="I43" s="61">
        <f>IF('📇 INVENTARIO'!I44="","",'📇 INVENTARIO'!I44)</f>
        <v>143</v>
      </c>
      <c r="J43" s="61">
        <f>IF('📇 INVENTARIO'!J44="","",'📇 INVENTARIO'!J44)</f>
        <v>1965</v>
      </c>
      <c r="K43" s="62">
        <f>IF($C43="","",(G43-'⚙️ SUPUESTOS'!$C$20)/('⚙️ SUPUESTOS'!$C$25-'⚙️ SUPUESTOS'!$C$20))</f>
        <v>0.28055077452667815</v>
      </c>
      <c r="L43" s="62">
        <f>IF($C43="","",VLOOKUP($E43,'📊 SECCIONES'!$B$4:$S$9,16,FALSE()))</f>
        <v>1</v>
      </c>
      <c r="M43" s="62">
        <f>IF($C43="","",VLOOKUP($E43,'📊 SECCIONES'!$B$4:$S$9,17,FALSE()))</f>
        <v>1</v>
      </c>
      <c r="N43" s="62">
        <f>IF($C43="","",VLOOKUP($E43,'📊 SECCIONES'!$B$4:$S$9,18,FALSE()))</f>
        <v>0</v>
      </c>
      <c r="O43" s="63">
        <f>IF($C43="","",ROUND('⚙️ SUPUESTOS'!$C$21*K43+'⚙️ SUPUESTOS'!$C$22*L43+'⚙️ SUPUESTOS'!$C$23*M43+'⚙️ SUPUESTOS'!$C$24*N43,4))</f>
        <v>0.51429999999999998</v>
      </c>
      <c r="P43" s="64">
        <f>IF($C43="","",VLOOKUP($E43,'📊 SECCIONES'!$B$4:$S$9,7,FALSE()))</f>
        <v>66.510000000000005</v>
      </c>
      <c r="Q43" s="65">
        <f>IF($C43="","",VLOOKUP($E43,'📊 SECCIONES'!$B$4:$S$9,8,FALSE()))</f>
        <v>17450</v>
      </c>
      <c r="R43" s="64">
        <f>IF($C43="","",VLOOKUP($E43,'📊 SECCIONES'!$B$4:$S$9,10,FALSE()))</f>
        <v>10.6</v>
      </c>
      <c r="S43" s="61">
        <f>IF('📇 INVENTARIO'!K44="","",'📇 INVENTARIO'!K44)</f>
        <v>3</v>
      </c>
      <c r="T43" s="66" t="str">
        <f t="shared" si="0"/>
        <v>Objetivo: alcanzar calificación C. Actual: Cal.F. SATE integral + cubierta + carpinterías triple + aerotermia + instalación fotovoltaica</v>
      </c>
      <c r="U43" s="59" t="str">
        <f t="shared" si="1"/>
        <v>—</v>
      </c>
      <c r="V43" s="67">
        <f>IF('📇 INVENTARIO'!L44="","",'📇 INVENTARIO'!L44)</f>
        <v>99.5</v>
      </c>
      <c r="W43" s="64">
        <f>IF($C43="","",V43*'⚙️ SUPUESTOS'!$C$8*'⚙️ SUPUESTOS'!$C$9)</f>
        <v>20.895</v>
      </c>
      <c r="X43" s="67">
        <f>IF('📇 INVENTARIO'!N44="","",'📇 INVENTARIO'!N44)</f>
        <v>1398</v>
      </c>
      <c r="Y43" s="67">
        <f>IF($C43="","",W43*X43*'⚙️ SUPUESTOS'!$C$7)</f>
        <v>26290.089</v>
      </c>
      <c r="Z43" s="65">
        <f>IF($C43="","",W43*'⚙️ SUPUESTOS'!$C$10)</f>
        <v>27894.825000000001</v>
      </c>
      <c r="AA43" s="65">
        <f>IF($C43="","",Y43*('⚙️ SUPUESTOS'!$C$12*'⚙️ SUPUESTOS'!$C$11+(1-'⚙️ SUPUESTOS'!$C$12)*'⚙️ SUPUESTOS'!$C$13))</f>
        <v>1792.9840698000003</v>
      </c>
      <c r="AB43" s="65">
        <f>IF($C43="","",IF(Y43&gt;0,ROUND(Y43*'⚙️ SUPUESTOS'!$C$12*'⚙️ SUPUESTOS'!$C$11,0),""))</f>
        <v>657</v>
      </c>
      <c r="AC43" s="65">
        <f>IF($C43="","",IF(Y43&gt;0,ROUND(Y43*(1-'⚙️ SUPUESTOS'!$C$12)*'⚙️ SUPUESTOS'!$C$13,0),""))</f>
        <v>1136</v>
      </c>
      <c r="AD43" s="65">
        <f t="shared" si="2"/>
        <v>16930</v>
      </c>
      <c r="AE43" s="64">
        <f t="shared" si="3"/>
        <v>15.557765107813562</v>
      </c>
      <c r="AF43" s="59" t="str">
        <f>IF($C43="","",IF(AE43="","—",IF(AE43&lt;='⚙️ SUPUESTOS'!$C$32,"✔ Muy recomendable",IF(AE43&lt;='⚙️ SUPUESTOS'!$C$33,"✔ Recomendable","Valorar"))))</f>
        <v>✔ Recomendable</v>
      </c>
      <c r="AG43" s="68">
        <f>IF('📇 INVENTARIO'!O44="","",'📇 INVENTARIO'!O44)</f>
        <v>41.649549999999998</v>
      </c>
      <c r="AH43" s="68">
        <f>IF('📇 INVENTARIO'!P44="","",'📇 INVENTARIO'!P44)</f>
        <v>-4.7104699999999999</v>
      </c>
    </row>
    <row r="44" spans="1:34" ht="45" customHeight="1">
      <c r="A44" s="69">
        <f>IF($C44="","",RANK(O44,$O$3:$O$265,0)+COUNTIF($O$3:O44,O44)-1)</f>
        <v>42</v>
      </c>
      <c r="B44" s="70" t="str">
        <f>IF($C44="","",IF(A44&lt;='⚙️ SUPUESTOS'!$C$29,"Fase 1",IF(A44&lt;='⚙️ SUPUESTOS'!$C$30,"Fase 2","Fase 3")))</f>
        <v>Fase 1</v>
      </c>
      <c r="C44" s="71" t="str">
        <f>IF('📇 INVENTARIO'!B45="","",'📇 INVENTARIO'!B45)</f>
        <v>C/ Gaviota, 2</v>
      </c>
      <c r="D44" s="70" t="str">
        <f>IF('📇 INVENTARIO'!C45="","",'📇 INVENTARIO'!C45)</f>
        <v>7824505UM5172D</v>
      </c>
      <c r="E44" s="70" t="str">
        <f>IF('📇 INVENTARIO'!D45="","",'📇 INVENTARIO'!D45)</f>
        <v>4718606026</v>
      </c>
      <c r="F44" s="70" t="str">
        <f>IF('📇 INVENTARIO'!F45="","",'📇 INVENTARIO'!F45)</f>
        <v>F</v>
      </c>
      <c r="G44" s="72">
        <f>IF('📇 INVENTARIO'!G45="","",'📇 INVENTARIO'!G45)</f>
        <v>302</v>
      </c>
      <c r="H44" s="72">
        <f>IF('📇 INVENTARIO'!H45="","",'📇 INVENTARIO'!H45)</f>
        <v>64</v>
      </c>
      <c r="I44" s="72">
        <f>IF('📇 INVENTARIO'!I45="","",'📇 INVENTARIO'!I45)</f>
        <v>155.19999999999999</v>
      </c>
      <c r="J44" s="72">
        <f>IF('📇 INVENTARIO'!J45="","",'📇 INVENTARIO'!J45)</f>
        <v>1965</v>
      </c>
      <c r="K44" s="73">
        <f>IF($C44="","",(G44-'⚙️ SUPUESTOS'!$C$20)/('⚙️ SUPUESTOS'!$C$25-'⚙️ SUPUESTOS'!$C$20))</f>
        <v>0.27366609294320138</v>
      </c>
      <c r="L44" s="73">
        <f>IF($C44="","",VLOOKUP($E44,'📊 SECCIONES'!$B$4:$S$9,16,FALSE()))</f>
        <v>1</v>
      </c>
      <c r="M44" s="73">
        <f>IF($C44="","",VLOOKUP($E44,'📊 SECCIONES'!$B$4:$S$9,17,FALSE()))</f>
        <v>1</v>
      </c>
      <c r="N44" s="73">
        <f>IF($C44="","",VLOOKUP($E44,'📊 SECCIONES'!$B$4:$S$9,18,FALSE()))</f>
        <v>0</v>
      </c>
      <c r="O44" s="74">
        <f>IF($C44="","",ROUND('⚙️ SUPUESTOS'!$C$21*K44+'⚙️ SUPUESTOS'!$C$22*L44+'⚙️ SUPUESTOS'!$C$23*M44+'⚙️ SUPUESTOS'!$C$24*N44,4))</f>
        <v>0.51049999999999995</v>
      </c>
      <c r="P44" s="75">
        <f>IF($C44="","",VLOOKUP($E44,'📊 SECCIONES'!$B$4:$S$9,7,FALSE()))</f>
        <v>66.510000000000005</v>
      </c>
      <c r="Q44" s="76">
        <f>IF($C44="","",VLOOKUP($E44,'📊 SECCIONES'!$B$4:$S$9,8,FALSE()))</f>
        <v>17450</v>
      </c>
      <c r="R44" s="75">
        <f>IF($C44="","",VLOOKUP($E44,'📊 SECCIONES'!$B$4:$S$9,10,FALSE()))</f>
        <v>10.6</v>
      </c>
      <c r="S44" s="72">
        <f>IF('📇 INVENTARIO'!K45="","",'📇 INVENTARIO'!K45)</f>
        <v>3</v>
      </c>
      <c r="T44" s="77" t="str">
        <f t="shared" si="0"/>
        <v>Objetivo: alcanzar calificación C. Actual: Cal.F. SATE integral + cubierta + carpinterías triple + aerotermia + instalación fotovoltaica</v>
      </c>
      <c r="U44" s="70" t="str">
        <f t="shared" si="1"/>
        <v>—</v>
      </c>
      <c r="V44" s="78">
        <f>IF('📇 INVENTARIO'!L45="","",'📇 INVENTARIO'!L45)</f>
        <v>99.1</v>
      </c>
      <c r="W44" s="75">
        <f>IF($C44="","",V44*'⚙️ SUPUESTOS'!$C$8*'⚙️ SUPUESTOS'!$C$9)</f>
        <v>20.810999999999996</v>
      </c>
      <c r="X44" s="78">
        <f>IF('📇 INVENTARIO'!N45="","",'📇 INVENTARIO'!N45)</f>
        <v>1451</v>
      </c>
      <c r="Y44" s="78">
        <f>IF($C44="","",W44*X44*'⚙️ SUPUESTOS'!$C$7)</f>
        <v>27177.084899999994</v>
      </c>
      <c r="Z44" s="76">
        <f>IF($C44="","",W44*'⚙️ SUPUESTOS'!$C$10)</f>
        <v>27782.684999999994</v>
      </c>
      <c r="AA44" s="76">
        <f>IF($C44="","",Y44*('⚙️ SUPUESTOS'!$C$12*'⚙️ SUPUESTOS'!$C$11+(1-'⚙️ SUPUESTOS'!$C$12)*'⚙️ SUPUESTOS'!$C$13))</f>
        <v>1853.47719018</v>
      </c>
      <c r="AB44" s="76">
        <f>IF($C44="","",IF(Y44&gt;0,ROUND(Y44*'⚙️ SUPUESTOS'!$C$12*'⚙️ SUPUESTOS'!$C$11,0),""))</f>
        <v>679</v>
      </c>
      <c r="AC44" s="76">
        <f>IF($C44="","",IF(Y44&gt;0,ROUND(Y44*(1-'⚙️ SUPUESTOS'!$C$12)*'⚙️ SUPUESTOS'!$C$13,0),""))</f>
        <v>1174</v>
      </c>
      <c r="AD44" s="76">
        <f t="shared" si="2"/>
        <v>18554</v>
      </c>
      <c r="AE44" s="75">
        <f t="shared" si="3"/>
        <v>14.989493880581225</v>
      </c>
      <c r="AF44" s="70" t="str">
        <f>IF($C44="","",IF(AE44="","—",IF(AE44&lt;='⚙️ SUPUESTOS'!$C$32,"✔ Muy recomendable",IF(AE44&lt;='⚙️ SUPUESTOS'!$C$33,"✔ Recomendable","Valorar"))))</f>
        <v>✔ Muy recomendable</v>
      </c>
      <c r="AG44" s="79">
        <f>IF('📇 INVENTARIO'!O45="","",'📇 INVENTARIO'!O45)</f>
        <v>41.648780000000002</v>
      </c>
      <c r="AH44" s="79">
        <f>IF('📇 INVENTARIO'!P45="","",'📇 INVENTARIO'!P45)</f>
        <v>-4.7087500000000002</v>
      </c>
    </row>
    <row r="45" spans="1:34" ht="45" customHeight="1">
      <c r="A45" s="58">
        <f>IF($C45="","",RANK(O45,$O$3:$O$265,0)+COUNTIF($O$3:O45,O45)-1)</f>
        <v>43</v>
      </c>
      <c r="B45" s="59" t="str">
        <f>IF($C45="","",IF(A45&lt;='⚙️ SUPUESTOS'!$C$29,"Fase 1",IF(A45&lt;='⚙️ SUPUESTOS'!$C$30,"Fase 2","Fase 3")))</f>
        <v>Fase 1</v>
      </c>
      <c r="C45" s="60" t="str">
        <f>IF('📇 INVENTARIO'!B46="","",'📇 INVENTARIO'!B46)</f>
        <v>C/ Paloma, 5</v>
      </c>
      <c r="D45" s="59" t="str">
        <f>IF('📇 INVENTARIO'!C46="","",'📇 INVENTARIO'!C46)</f>
        <v>7724214UM5172D</v>
      </c>
      <c r="E45" s="59" t="str">
        <f>IF('📇 INVENTARIO'!D46="","",'📇 INVENTARIO'!D46)</f>
        <v>4718606026</v>
      </c>
      <c r="F45" s="59" t="str">
        <f>IF('📇 INVENTARIO'!F46="","",'📇 INVENTARIO'!F46)</f>
        <v>F</v>
      </c>
      <c r="G45" s="61">
        <f>IF('📇 INVENTARIO'!G46="","",'📇 INVENTARIO'!G46)</f>
        <v>297</v>
      </c>
      <c r="H45" s="61">
        <f>IF('📇 INVENTARIO'!H46="","",'📇 INVENTARIO'!H46)</f>
        <v>63</v>
      </c>
      <c r="I45" s="61">
        <f>IF('📇 INVENTARIO'!I46="","",'📇 INVENTARIO'!I46)</f>
        <v>195.6</v>
      </c>
      <c r="J45" s="61">
        <f>IF('📇 INVENTARIO'!J46="","",'📇 INVENTARIO'!J46)</f>
        <v>1965</v>
      </c>
      <c r="K45" s="62">
        <f>IF($C45="","",(G45-'⚙️ SUPUESTOS'!$C$20)/('⚙️ SUPUESTOS'!$C$25-'⚙️ SUPUESTOS'!$C$20))</f>
        <v>0.26506024096385544</v>
      </c>
      <c r="L45" s="62">
        <f>IF($C45="","",VLOOKUP($E45,'📊 SECCIONES'!$B$4:$S$9,16,FALSE()))</f>
        <v>1</v>
      </c>
      <c r="M45" s="62">
        <f>IF($C45="","",VLOOKUP($E45,'📊 SECCIONES'!$B$4:$S$9,17,FALSE()))</f>
        <v>1</v>
      </c>
      <c r="N45" s="62">
        <f>IF($C45="","",VLOOKUP($E45,'📊 SECCIONES'!$B$4:$S$9,18,FALSE()))</f>
        <v>0</v>
      </c>
      <c r="O45" s="63">
        <f>IF($C45="","",ROUND('⚙️ SUPUESTOS'!$C$21*K45+'⚙️ SUPUESTOS'!$C$22*L45+'⚙️ SUPUESTOS'!$C$23*M45+'⚙️ SUPUESTOS'!$C$24*N45,4))</f>
        <v>0.50580000000000003</v>
      </c>
      <c r="P45" s="64">
        <f>IF($C45="","",VLOOKUP($E45,'📊 SECCIONES'!$B$4:$S$9,7,FALSE()))</f>
        <v>66.510000000000005</v>
      </c>
      <c r="Q45" s="65">
        <f>IF($C45="","",VLOOKUP($E45,'📊 SECCIONES'!$B$4:$S$9,8,FALSE()))</f>
        <v>17450</v>
      </c>
      <c r="R45" s="64">
        <f>IF($C45="","",VLOOKUP($E45,'📊 SECCIONES'!$B$4:$S$9,10,FALSE()))</f>
        <v>10.6</v>
      </c>
      <c r="S45" s="61">
        <f>IF('📇 INVENTARIO'!K46="","",'📇 INVENTARIO'!K46)</f>
        <v>3</v>
      </c>
      <c r="T45" s="66" t="str">
        <f t="shared" si="0"/>
        <v>Objetivo: alcanzar calificación C. Actual: Cal.F. SATE integral + cubierta + carpinterías triple + aerotermia + instalación fotovoltaica</v>
      </c>
      <c r="U45" s="59" t="str">
        <f t="shared" si="1"/>
        <v>—</v>
      </c>
      <c r="V45" s="67">
        <f>IF('📇 INVENTARIO'!L46="","",'📇 INVENTARIO'!L46)</f>
        <v>100.9</v>
      </c>
      <c r="W45" s="64">
        <f>IF($C45="","",V45*'⚙️ SUPUESTOS'!$C$8*'⚙️ SUPUESTOS'!$C$9)</f>
        <v>21.189</v>
      </c>
      <c r="X45" s="67">
        <f>IF('📇 INVENTARIO'!N46="","",'📇 INVENTARIO'!N46)</f>
        <v>1346</v>
      </c>
      <c r="Y45" s="67">
        <f>IF($C45="","",W45*X45*'⚙️ SUPUESTOS'!$C$7)</f>
        <v>25668.354600000002</v>
      </c>
      <c r="Z45" s="65">
        <f>IF($C45="","",W45*'⚙️ SUPUESTOS'!$C$10)</f>
        <v>28287.314999999999</v>
      </c>
      <c r="AA45" s="65">
        <f>IF($C45="","",Y45*('⚙️ SUPUESTOS'!$C$12*'⚙️ SUPUESTOS'!$C$11+(1-'⚙️ SUPUESTOS'!$C$12)*'⚙️ SUPUESTOS'!$C$13))</f>
        <v>1750.5817837200004</v>
      </c>
      <c r="AB45" s="65">
        <f>IF($C45="","",IF(Y45&gt;0,ROUND(Y45*'⚙️ SUPUESTOS'!$C$12*'⚙️ SUPUESTOS'!$C$11,0),""))</f>
        <v>642</v>
      </c>
      <c r="AC45" s="65">
        <f>IF($C45="","",IF(Y45&gt;0,ROUND(Y45*(1-'⚙️ SUPUESTOS'!$C$12)*'⚙️ SUPUESTOS'!$C$13,0),""))</f>
        <v>1109</v>
      </c>
      <c r="AD45" s="65">
        <f t="shared" si="2"/>
        <v>15477</v>
      </c>
      <c r="AE45" s="64">
        <f t="shared" si="3"/>
        <v>16.158808039170399</v>
      </c>
      <c r="AF45" s="59" t="str">
        <f>IF($C45="","",IF(AE45="","—",IF(AE45&lt;='⚙️ SUPUESTOS'!$C$32,"✔ Muy recomendable",IF(AE45&lt;='⚙️ SUPUESTOS'!$C$33,"✔ Recomendable","Valorar"))))</f>
        <v>Valorar</v>
      </c>
      <c r="AG45" s="68">
        <f>IF('📇 INVENTARIO'!O46="","",'📇 INVENTARIO'!O46)</f>
        <v>41.64884</v>
      </c>
      <c r="AH45" s="68">
        <f>IF('📇 INVENTARIO'!P46="","",'📇 INVENTARIO'!P46)</f>
        <v>-4.7098500000000003</v>
      </c>
    </row>
    <row r="46" spans="1:34" ht="45" customHeight="1">
      <c r="A46" s="69">
        <f>IF($C46="","",RANK(O46,$O$3:$O$265,0)+COUNTIF($O$3:O46,O46)-1)</f>
        <v>44</v>
      </c>
      <c r="B46" s="70" t="str">
        <f>IF($C46="","",IF(A46&lt;='⚙️ SUPUESTOS'!$C$29,"Fase 1",IF(A46&lt;='⚙️ SUPUESTOS'!$C$30,"Fase 2","Fase 3")))</f>
        <v>Fase 1</v>
      </c>
      <c r="C46" s="71" t="str">
        <f>IF('📇 INVENTARIO'!B47="","",'📇 INVENTARIO'!B47)</f>
        <v>C/ Salud, 18</v>
      </c>
      <c r="D46" s="70" t="str">
        <f>IF('📇 INVENTARIO'!C47="","",'📇 INVENTARIO'!C47)</f>
        <v>7625401UM5172F</v>
      </c>
      <c r="E46" s="70" t="str">
        <f>IF('📇 INVENTARIO'!D47="","",'📇 INVENTARIO'!D47)</f>
        <v>4718606026</v>
      </c>
      <c r="F46" s="70" t="str">
        <f>IF('📇 INVENTARIO'!F47="","",'📇 INVENTARIO'!F47)</f>
        <v>F</v>
      </c>
      <c r="G46" s="72">
        <f>IF('📇 INVENTARIO'!G47="","",'📇 INVENTARIO'!G47)</f>
        <v>295</v>
      </c>
      <c r="H46" s="72">
        <f>IF('📇 INVENTARIO'!H47="","",'📇 INVENTARIO'!H47)</f>
        <v>61</v>
      </c>
      <c r="I46" s="72">
        <f>IF('📇 INVENTARIO'!I47="","",'📇 INVENTARIO'!I47)</f>
        <v>170.6</v>
      </c>
      <c r="J46" s="72">
        <f>IF('📇 INVENTARIO'!J47="","",'📇 INVENTARIO'!J47)</f>
        <v>1958</v>
      </c>
      <c r="K46" s="73">
        <f>IF($C46="","",(G46-'⚙️ SUPUESTOS'!$C$20)/('⚙️ SUPUESTOS'!$C$25-'⚙️ SUPUESTOS'!$C$20))</f>
        <v>0.26161790017211706</v>
      </c>
      <c r="L46" s="73">
        <f>IF($C46="","",VLOOKUP($E46,'📊 SECCIONES'!$B$4:$S$9,16,FALSE()))</f>
        <v>1</v>
      </c>
      <c r="M46" s="73">
        <f>IF($C46="","",VLOOKUP($E46,'📊 SECCIONES'!$B$4:$S$9,17,FALSE()))</f>
        <v>1</v>
      </c>
      <c r="N46" s="73">
        <f>IF($C46="","",VLOOKUP($E46,'📊 SECCIONES'!$B$4:$S$9,18,FALSE()))</f>
        <v>0</v>
      </c>
      <c r="O46" s="74">
        <f>IF($C46="","",ROUND('⚙️ SUPUESTOS'!$C$21*K46+'⚙️ SUPUESTOS'!$C$22*L46+'⚙️ SUPUESTOS'!$C$23*M46+'⚙️ SUPUESTOS'!$C$24*N46,4))</f>
        <v>0.50390000000000001</v>
      </c>
      <c r="P46" s="75">
        <f>IF($C46="","",VLOOKUP($E46,'📊 SECCIONES'!$B$4:$S$9,7,FALSE()))</f>
        <v>66.510000000000005</v>
      </c>
      <c r="Q46" s="76">
        <f>IF($C46="","",VLOOKUP($E46,'📊 SECCIONES'!$B$4:$S$9,8,FALSE()))</f>
        <v>17450</v>
      </c>
      <c r="R46" s="75">
        <f>IF($C46="","",VLOOKUP($E46,'📊 SECCIONES'!$B$4:$S$9,10,FALSE()))</f>
        <v>10.6</v>
      </c>
      <c r="S46" s="72">
        <f>IF('📇 INVENTARIO'!K47="","",'📇 INVENTARIO'!K47)</f>
        <v>5</v>
      </c>
      <c r="T46" s="77" t="str">
        <f t="shared" si="0"/>
        <v>Objetivo: alcanzar calificación C. Actual: Cal.F. SATE integral + cubierta + carpinterías triple + aerotermia + instalación fotovoltaica</v>
      </c>
      <c r="U46" s="70" t="str">
        <f t="shared" si="1"/>
        <v>Valorar ascensor (verificar)</v>
      </c>
      <c r="V46" s="78">
        <f>IF('📇 INVENTARIO'!L47="","",'📇 INVENTARIO'!L47)</f>
        <v>330.5</v>
      </c>
      <c r="W46" s="75">
        <f>IF($C46="","",V46*'⚙️ SUPUESTOS'!$C$8*'⚙️ SUPUESTOS'!$C$9)</f>
        <v>69.405000000000001</v>
      </c>
      <c r="X46" s="78">
        <f>IF('📇 INVENTARIO'!N47="","",'📇 INVENTARIO'!N47)</f>
        <v>1373</v>
      </c>
      <c r="Y46" s="78">
        <f>IF($C46="","",W46*X46*'⚙️ SUPUESTOS'!$C$7)</f>
        <v>85763.758500000011</v>
      </c>
      <c r="Z46" s="76">
        <f>IF($C46="","",W46*'⚙️ SUPUESTOS'!$C$10)</f>
        <v>92655.675000000003</v>
      </c>
      <c r="AA46" s="76">
        <f>IF($C46="","",Y46*('⚙️ SUPUESTOS'!$C$12*'⚙️ SUPUESTOS'!$C$11+(1-'⚙️ SUPUESTOS'!$C$12)*'⚙️ SUPUESTOS'!$C$13))</f>
        <v>5849.0883297000019</v>
      </c>
      <c r="AB46" s="76">
        <f>IF($C46="","",IF(Y46&gt;0,ROUND(Y46*'⚙️ SUPUESTOS'!$C$12*'⚙️ SUPUESTOS'!$C$11,0),""))</f>
        <v>2144</v>
      </c>
      <c r="AC46" s="76">
        <f>IF($C46="","",IF(Y46&gt;0,ROUND(Y46*(1-'⚙️ SUPUESTOS'!$C$12)*'⚙️ SUPUESTOS'!$C$13,0),""))</f>
        <v>3705</v>
      </c>
      <c r="AD46" s="76">
        <f t="shared" si="2"/>
        <v>53572</v>
      </c>
      <c r="AE46" s="75">
        <f t="shared" si="3"/>
        <v>15.841045608684164</v>
      </c>
      <c r="AF46" s="70" t="str">
        <f>IF($C46="","",IF(AE46="","—",IF(AE46&lt;='⚙️ SUPUESTOS'!$C$32,"✔ Muy recomendable",IF(AE46&lt;='⚙️ SUPUESTOS'!$C$33,"✔ Recomendable","Valorar"))))</f>
        <v>✔ Recomendable</v>
      </c>
      <c r="AG46" s="79">
        <f>IF('📇 INVENTARIO'!O47="","",'📇 INVENTARIO'!O47)</f>
        <v>41.649659999999997</v>
      </c>
      <c r="AH46" s="79">
        <f>IF('📇 INVENTARIO'!P47="","",'📇 INVENTARIO'!P47)</f>
        <v>-4.7109800000000002</v>
      </c>
    </row>
    <row r="47" spans="1:34" ht="45" customHeight="1">
      <c r="A47" s="69">
        <f>IF($C47="","",RANK(O47,$O$3:$O$265,0)+COUNTIF($O$3:O47,O47)-1)</f>
        <v>45</v>
      </c>
      <c r="B47" s="70" t="str">
        <f>IF($C47="","",IF(A47&lt;='⚙️ SUPUESTOS'!$C$29,"Fase 1",IF(A47&lt;='⚙️ SUPUESTOS'!$C$30,"Fase 2","Fase 3")))</f>
        <v>Fase 1</v>
      </c>
      <c r="C47" s="71" t="str">
        <f>IF('📇 INVENTARIO'!B49="","",'📇 INVENTARIO'!B49)</f>
        <v>C/ Papagayo, 2</v>
      </c>
      <c r="D47" s="70" t="str">
        <f>IF('📇 INVENTARIO'!C49="","",'📇 INVENTARIO'!C49)</f>
        <v>7825401UM5172F</v>
      </c>
      <c r="E47" s="70" t="str">
        <f>IF('📇 INVENTARIO'!D49="","",'📇 INVENTARIO'!D49)</f>
        <v>4718606023</v>
      </c>
      <c r="F47" s="70" t="str">
        <f>IF('📇 INVENTARIO'!F49="","",'📇 INVENTARIO'!F49)</f>
        <v>G</v>
      </c>
      <c r="G47" s="72">
        <f>IF('📇 INVENTARIO'!G49="","",'📇 INVENTARIO'!G49)</f>
        <v>433</v>
      </c>
      <c r="H47" s="72">
        <f>IF('📇 INVENTARIO'!H49="","",'📇 INVENTARIO'!H49)</f>
        <v>91</v>
      </c>
      <c r="I47" s="72">
        <f>IF('📇 INVENTARIO'!I49="","",'📇 INVENTARIO'!I49)</f>
        <v>195.6</v>
      </c>
      <c r="J47" s="72">
        <f>IF('📇 INVENTARIO'!J49="","",'📇 INVENTARIO'!J49)</f>
        <v>1965</v>
      </c>
      <c r="K47" s="73">
        <f>IF($C47="","",(G47-'⚙️ SUPUESTOS'!$C$20)/('⚙️ SUPUESTOS'!$C$25-'⚙️ SUPUESTOS'!$C$20))</f>
        <v>0.49913941480206542</v>
      </c>
      <c r="L47" s="73">
        <f>IF($C47="","",VLOOKUP($E47,'📊 SECCIONES'!$B$4:$S$9,16,FALSE()))</f>
        <v>0.54128061278831963</v>
      </c>
      <c r="M47" s="73">
        <f>IF($C47="","",VLOOKUP($E47,'📊 SECCIONES'!$B$4:$S$9,17,FALSE()))</f>
        <v>0.59585492227979275</v>
      </c>
      <c r="N47" s="73">
        <f>IF($C47="","",VLOOKUP($E47,'📊 SECCIONES'!$B$4:$S$9,18,FALSE()))</f>
        <v>0.28636363636363632</v>
      </c>
      <c r="O47" s="74">
        <f>IF($C47="","",ROUND('⚙️ SUPUESTOS'!$C$21*K47+'⚙️ SUPUESTOS'!$C$22*L47+'⚙️ SUPUESTOS'!$C$23*M47+'⚙️ SUPUESTOS'!$C$24*N47,4))</f>
        <v>0.50280000000000002</v>
      </c>
      <c r="P47" s="75">
        <f>IF($C47="","",VLOOKUP($E47,'📊 SECCIONES'!$B$4:$S$9,7,FALSE()))</f>
        <v>39.409999999999997</v>
      </c>
      <c r="Q47" s="76">
        <f>IF($C47="","",VLOOKUP($E47,'📊 SECCIONES'!$B$4:$S$9,8,FALSE()))</f>
        <v>22486</v>
      </c>
      <c r="R47" s="75">
        <f>IF($C47="","",VLOOKUP($E47,'📊 SECCIONES'!$B$4:$S$9,10,FALSE()))</f>
        <v>16.899999999999999</v>
      </c>
      <c r="S47" s="72">
        <f>IF('📇 INVENTARIO'!K49="","",'📇 INVENTARIO'!K49)</f>
        <v>3</v>
      </c>
      <c r="T47" s="77" t="str">
        <f t="shared" si="0"/>
        <v>Objetivo: alcanzar calificación C. Actual: Cal.G. SATE integral + cubierta + carpinterías triple + aerotermia + instalación fotovoltaica</v>
      </c>
      <c r="U47" s="70" t="str">
        <f t="shared" si="1"/>
        <v>—</v>
      </c>
      <c r="V47" s="78">
        <f>IF('📇 INVENTARIO'!L49="","",'📇 INVENTARIO'!L49)</f>
        <v>102.5</v>
      </c>
      <c r="W47" s="75">
        <f>IF($C47="","",V47*'⚙️ SUPUESTOS'!$C$8*'⚙️ SUPUESTOS'!$C$9)</f>
        <v>21.524999999999999</v>
      </c>
      <c r="X47" s="78">
        <f>IF('📇 INVENTARIO'!N49="","",'📇 INVENTARIO'!N49)</f>
        <v>1409</v>
      </c>
      <c r="Y47" s="78">
        <f>IF($C47="","",W47*X47*'⚙️ SUPUESTOS'!$C$7)</f>
        <v>27295.852500000001</v>
      </c>
      <c r="Z47" s="76">
        <f>IF($C47="","",W47*'⚙️ SUPUESTOS'!$C$10)</f>
        <v>28735.874999999996</v>
      </c>
      <c r="AA47" s="76">
        <f>IF($C47="","",Y47*('⚙️ SUPUESTOS'!$C$12*'⚙️ SUPUESTOS'!$C$11+(1-'⚙️ SUPUESTOS'!$C$12)*'⚙️ SUPUESTOS'!$C$13))</f>
        <v>1861.5771405000003</v>
      </c>
      <c r="AB47" s="76">
        <f>IF($C47="","",IF(Y47&gt;0,ROUND(Y47*'⚙️ SUPUESTOS'!$C$12*'⚙️ SUPUESTOS'!$C$11,0),""))</f>
        <v>682</v>
      </c>
      <c r="AC47" s="76">
        <f>IF($C47="","",IF(Y47&gt;0,ROUND(Y47*(1-'⚙️ SUPUESTOS'!$C$12)*'⚙️ SUPUESTOS'!$C$13,0),""))</f>
        <v>1179</v>
      </c>
      <c r="AD47" s="65">
        <f t="shared" si="2"/>
        <v>17804</v>
      </c>
      <c r="AE47" s="64">
        <f t="shared" si="3"/>
        <v>15.436306331244397</v>
      </c>
      <c r="AF47" s="59" t="str">
        <f>IF($C47="","",IF(AE47="","—",IF(AE47&lt;='⚙️ SUPUESTOS'!$C$32,"✔ Muy recomendable",IF(AE47&lt;='⚙️ SUPUESTOS'!$C$33,"✔ Recomendable","Valorar"))))</f>
        <v>✔ Recomendable</v>
      </c>
      <c r="AG47" s="68">
        <f>IF('📇 INVENTARIO'!O48="","",'📇 INVENTARIO'!O48)</f>
        <v>41.649033000000003</v>
      </c>
      <c r="AH47" s="68">
        <f>IF('📇 INVENTARIO'!P48="","",'📇 INVENTARIO'!P48)</f>
        <v>-4.7111549999999998</v>
      </c>
    </row>
    <row r="48" spans="1:34" ht="45" customHeight="1">
      <c r="A48" s="58">
        <f>IF($C48="","",RANK(O48,$O$3:$O$265,0)+COUNTIF($O$3:O48,O48)-1)</f>
        <v>46</v>
      </c>
      <c r="B48" s="59" t="str">
        <f>IF($C48="","",IF(A48&lt;='⚙️ SUPUESTOS'!$C$29,"Fase 1",IF(A48&lt;='⚙️ SUPUESTOS'!$C$30,"Fase 2","Fase 3")))</f>
        <v>Fase 1</v>
      </c>
      <c r="C48" s="60" t="str">
        <f>IF('📇 INVENTARIO'!B48="","",'📇 INVENTARIO'!B48)</f>
        <v>C/ Faisán, 1</v>
      </c>
      <c r="D48" s="59" t="str">
        <f>IF('📇 INVENTARIO'!C48="","",'📇 INVENTARIO'!C48)</f>
        <v>7625401UM5172F</v>
      </c>
      <c r="E48" s="59" t="str">
        <f>IF('📇 INVENTARIO'!D48="","",'📇 INVENTARIO'!D48)</f>
        <v>4718606026</v>
      </c>
      <c r="F48" s="59" t="str">
        <f>IF('📇 INVENTARIO'!F48="","",'📇 INVENTARIO'!F48)</f>
        <v>E</v>
      </c>
      <c r="G48" s="61">
        <f>IF('📇 INVENTARIO'!G48="","",'📇 INVENTARIO'!G48)</f>
        <v>287</v>
      </c>
      <c r="H48" s="61">
        <f>IF('📇 INVENTARIO'!H48="","",'📇 INVENTARIO'!H48)</f>
        <v>60.5</v>
      </c>
      <c r="I48" s="61">
        <f>IF('📇 INVENTARIO'!I48="","",'📇 INVENTARIO'!I48)</f>
        <v>130.5</v>
      </c>
      <c r="J48" s="61">
        <f>IF('📇 INVENTARIO'!J48="","",'📇 INVENTARIO'!J48)</f>
        <v>1958</v>
      </c>
      <c r="K48" s="62">
        <f>IF($C48="","",(G48-'⚙️ SUPUESTOS'!$C$20)/('⚙️ SUPUESTOS'!$C$25-'⚙️ SUPUESTOS'!$C$20))</f>
        <v>0.24784853700516352</v>
      </c>
      <c r="L48" s="62">
        <f>IF($C48="","",VLOOKUP($E48,'📊 SECCIONES'!$B$4:$S$9,16,FALSE()))</f>
        <v>1</v>
      </c>
      <c r="M48" s="62">
        <f>IF($C48="","",VLOOKUP($E48,'📊 SECCIONES'!$B$4:$S$9,17,FALSE()))</f>
        <v>1</v>
      </c>
      <c r="N48" s="62">
        <f>IF($C48="","",VLOOKUP($E48,'📊 SECCIONES'!$B$4:$S$9,18,FALSE()))</f>
        <v>0</v>
      </c>
      <c r="O48" s="63">
        <f>IF($C48="","",ROUND('⚙️ SUPUESTOS'!$C$21*K48+'⚙️ SUPUESTOS'!$C$22*L48+'⚙️ SUPUESTOS'!$C$23*M48+'⚙️ SUPUESTOS'!$C$24*N48,4))</f>
        <v>0.49630000000000002</v>
      </c>
      <c r="P48" s="64">
        <f>IF($C48="","",VLOOKUP($E48,'📊 SECCIONES'!$B$4:$S$9,7,FALSE()))</f>
        <v>66.510000000000005</v>
      </c>
      <c r="Q48" s="65">
        <f>IF($C48="","",VLOOKUP($E48,'📊 SECCIONES'!$B$4:$S$9,8,FALSE()))</f>
        <v>17450</v>
      </c>
      <c r="R48" s="64">
        <f>IF($C48="","",VLOOKUP($E48,'📊 SECCIONES'!$B$4:$S$9,10,FALSE()))</f>
        <v>10.6</v>
      </c>
      <c r="S48" s="61">
        <f>IF('📇 INVENTARIO'!K48="","",'📇 INVENTARIO'!K48)</f>
        <v>5</v>
      </c>
      <c r="T48" s="66" t="str">
        <f t="shared" si="0"/>
        <v>Objetivo: alcanzar calificación C. Actual: Cal.E. SATE fachada + carpinterías doble + instalación fotovoltaica</v>
      </c>
      <c r="U48" s="59" t="str">
        <f t="shared" si="1"/>
        <v>Valorar ascensor (verificar)</v>
      </c>
      <c r="V48" s="67">
        <f>IF('📇 INVENTARIO'!L48="","",'📇 INVENTARIO'!L48)</f>
        <v>330.5</v>
      </c>
      <c r="W48" s="64">
        <f>IF($C48="","",V48*'⚙️ SUPUESTOS'!$C$8*'⚙️ SUPUESTOS'!$C$9)</f>
        <v>69.405000000000001</v>
      </c>
      <c r="X48" s="67">
        <f>IF('📇 INVENTARIO'!N48="","",'📇 INVENTARIO'!N48)</f>
        <v>1373</v>
      </c>
      <c r="Y48" s="67">
        <f>IF($C48="","",W48*X48*'⚙️ SUPUESTOS'!$C$7)</f>
        <v>85763.758500000011</v>
      </c>
      <c r="Z48" s="65">
        <f>IF($C48="","",W48*'⚙️ SUPUESTOS'!$C$10)</f>
        <v>92655.675000000003</v>
      </c>
      <c r="AA48" s="65">
        <f>IF($C48="","",Y48*('⚙️ SUPUESTOS'!$C$12*'⚙️ SUPUESTOS'!$C$11+(1-'⚙️ SUPUESTOS'!$C$12)*'⚙️ SUPUESTOS'!$C$13))</f>
        <v>5849.0883297000019</v>
      </c>
      <c r="AB48" s="65">
        <f>IF($C48="","",IF(Y48&gt;0,ROUND(Y48*'⚙️ SUPUESTOS'!$C$12*'⚙️ SUPUESTOS'!$C$11,0),""))</f>
        <v>2144</v>
      </c>
      <c r="AC48" s="65">
        <f>IF($C48="","",IF(Y48&gt;0,ROUND(Y48*(1-'⚙️ SUPUESTOS'!$C$12)*'⚙️ SUPUESTOS'!$C$13,0),""))</f>
        <v>3705</v>
      </c>
      <c r="AD48" s="76">
        <f t="shared" si="2"/>
        <v>53572</v>
      </c>
      <c r="AE48" s="75">
        <f t="shared" si="3"/>
        <v>15.841045608684164</v>
      </c>
      <c r="AF48" s="70" t="str">
        <f>IF($C48="","",IF(AE48="","—",IF(AE48&lt;='⚙️ SUPUESTOS'!$C$32,"✔ Muy recomendable",IF(AE48&lt;='⚙️ SUPUESTOS'!$C$33,"✔ Recomendable","Valorar"))))</f>
        <v>✔ Recomendable</v>
      </c>
      <c r="AG48" s="79">
        <f>IF('📇 INVENTARIO'!O49="","",'📇 INVENTARIO'!O49)</f>
        <v>41.649900000000002</v>
      </c>
      <c r="AH48" s="79">
        <f>IF('📇 INVENTARIO'!P49="","",'📇 INVENTARIO'!P49)</f>
        <v>-4.7089400000000001</v>
      </c>
    </row>
    <row r="49" spans="1:34" ht="45" customHeight="1">
      <c r="A49" s="58">
        <f>IF($C49="","",RANK(O49,$O$3:$O$265,0)+COUNTIF($O$3:O49,O49)-1)</f>
        <v>47</v>
      </c>
      <c r="B49" s="59" t="str">
        <f>IF($C49="","",IF(A49&lt;='⚙️ SUPUESTOS'!$C$29,"Fase 1",IF(A49&lt;='⚙️ SUPUESTOS'!$C$30,"Fase 2","Fase 3")))</f>
        <v>Fase 1</v>
      </c>
      <c r="C49" s="60" t="str">
        <f>IF('📇 INVENTARIO'!B50="","",'📇 INVENTARIO'!B50)</f>
        <v>C/ Cigüeña, 47</v>
      </c>
      <c r="D49" s="59" t="str">
        <f>IF('📇 INVENTARIO'!C50="","",'📇 INVENTARIO'!C50)</f>
        <v>7825413UM5172F</v>
      </c>
      <c r="E49" s="59" t="str">
        <f>IF('📇 INVENTARIO'!D50="","",'📇 INVENTARIO'!D50)</f>
        <v>4718606023</v>
      </c>
      <c r="F49" s="59" t="str">
        <f>IF('📇 INVENTARIO'!F50="","",'📇 INVENTARIO'!F50)</f>
        <v>G</v>
      </c>
      <c r="G49" s="61">
        <f>IF('📇 INVENTARIO'!G50="","",'📇 INVENTARIO'!G50)</f>
        <v>425</v>
      </c>
      <c r="H49" s="61">
        <f>IF('📇 INVENTARIO'!H50="","",'📇 INVENTARIO'!H50)</f>
        <v>96.5</v>
      </c>
      <c r="I49" s="61">
        <f>IF('📇 INVENTARIO'!I50="","",'📇 INVENTARIO'!I50)</f>
        <v>242.6</v>
      </c>
      <c r="J49" s="61">
        <f>IF('📇 INVENTARIO'!J50="","",'📇 INVENTARIO'!J50)</f>
        <v>1965</v>
      </c>
      <c r="K49" s="62">
        <f>IF($C49="","",(G49-'⚙️ SUPUESTOS'!$C$20)/('⚙️ SUPUESTOS'!$C$25-'⚙️ SUPUESTOS'!$C$20))</f>
        <v>0.48537005163511188</v>
      </c>
      <c r="L49" s="62">
        <f>IF($C49="","",VLOOKUP($E49,'📊 SECCIONES'!$B$4:$S$9,16,FALSE()))</f>
        <v>0.54128061278831963</v>
      </c>
      <c r="M49" s="62">
        <f>IF($C49="","",VLOOKUP($E49,'📊 SECCIONES'!$B$4:$S$9,17,FALSE()))</f>
        <v>0.59585492227979275</v>
      </c>
      <c r="N49" s="62">
        <f>IF($C49="","",VLOOKUP($E49,'📊 SECCIONES'!$B$4:$S$9,18,FALSE()))</f>
        <v>0.28636363636363632</v>
      </c>
      <c r="O49" s="63">
        <f>IF($C49="","",ROUND('⚙️ SUPUESTOS'!$C$21*K49+'⚙️ SUPUESTOS'!$C$22*L49+'⚙️ SUPUESTOS'!$C$23*M49+'⚙️ SUPUESTOS'!$C$24*N49,4))</f>
        <v>0.49519999999999997</v>
      </c>
      <c r="P49" s="64">
        <f>IF($C49="","",VLOOKUP($E49,'📊 SECCIONES'!$B$4:$S$9,7,FALSE()))</f>
        <v>39.409999999999997</v>
      </c>
      <c r="Q49" s="65">
        <f>IF($C49="","",VLOOKUP($E49,'📊 SECCIONES'!$B$4:$S$9,8,FALSE()))</f>
        <v>22486</v>
      </c>
      <c r="R49" s="64">
        <f>IF($C49="","",VLOOKUP($E49,'📊 SECCIONES'!$B$4:$S$9,10,FALSE()))</f>
        <v>16.899999999999999</v>
      </c>
      <c r="S49" s="61">
        <f>IF('📇 INVENTARIO'!K50="","",'📇 INVENTARIO'!K50)</f>
        <v>3</v>
      </c>
      <c r="T49" s="66" t="str">
        <f t="shared" si="0"/>
        <v>Objetivo: alcanzar calificación C. Actual: Cal.G. SATE integral + cubierta + carpinterías triple + aerotermia + instalación fotovoltaica</v>
      </c>
      <c r="U49" s="59" t="str">
        <f t="shared" si="1"/>
        <v>—</v>
      </c>
      <c r="V49" s="67">
        <f>IF('📇 INVENTARIO'!L50="","",'📇 INVENTARIO'!L50)</f>
        <v>99</v>
      </c>
      <c r="W49" s="64">
        <f>IF($C49="","",V49*'⚙️ SUPUESTOS'!$C$8*'⚙️ SUPUESTOS'!$C$9)</f>
        <v>20.79</v>
      </c>
      <c r="X49" s="67">
        <f>IF('📇 INVENTARIO'!N50="","",'📇 INVENTARIO'!N50)</f>
        <v>1507</v>
      </c>
      <c r="Y49" s="67">
        <f>IF($C49="","",W49*X49*'⚙️ SUPUESTOS'!$C$7)</f>
        <v>28197.476999999999</v>
      </c>
      <c r="Z49" s="65">
        <f>IF($C49="","",W49*'⚙️ SUPUESTOS'!$C$10)</f>
        <v>27754.649999999998</v>
      </c>
      <c r="AA49" s="65">
        <f>IF($C49="","",Y49*('⚙️ SUPUESTOS'!$C$12*'⚙️ SUPUESTOS'!$C$11+(1-'⚙️ SUPUESTOS'!$C$12)*'⚙️ SUPUESTOS'!$C$13))</f>
        <v>1923.0679314000001</v>
      </c>
      <c r="AB49" s="65">
        <f>IF($C49="","",IF(Y49&gt;0,ROUND(Y49*'⚙️ SUPUESTOS'!$C$12*'⚙️ SUPUESTOS'!$C$11,0),""))</f>
        <v>705</v>
      </c>
      <c r="AC49" s="65">
        <f>IF($C49="","",IF(Y49&gt;0,ROUND(Y49*(1-'⚙️ SUPUESTOS'!$C$12)*'⚙️ SUPUESTOS'!$C$13,0),""))</f>
        <v>1218</v>
      </c>
      <c r="AD49" s="65">
        <f t="shared" si="2"/>
        <v>20322</v>
      </c>
      <c r="AE49" s="64">
        <f t="shared" si="3"/>
        <v>14.432485481568255</v>
      </c>
      <c r="AF49" s="59" t="str">
        <f>IF($C49="","",IF(AE49="","—",IF(AE49&lt;='⚙️ SUPUESTOS'!$C$32,"✔ Muy recomendable",IF(AE49&lt;='⚙️ SUPUESTOS'!$C$33,"✔ Recomendable","Valorar"))))</f>
        <v>✔ Muy recomendable</v>
      </c>
      <c r="AG49" s="68">
        <f>IF('📇 INVENTARIO'!O50="","",'📇 INVENTARIO'!O50)</f>
        <v>41.649189999999997</v>
      </c>
      <c r="AH49" s="68">
        <f>IF('📇 INVENTARIO'!P50="","",'📇 INVENTARIO'!P50)</f>
        <v>-4.7081999999999997</v>
      </c>
    </row>
    <row r="50" spans="1:34" ht="45" customHeight="1">
      <c r="A50" s="69">
        <f>IF($C50="","",RANK(O50,$O$3:$O$265,0)+COUNTIF($O$3:O50,O50)-1)</f>
        <v>48</v>
      </c>
      <c r="B50" s="70" t="str">
        <f>IF($C50="","",IF(A50&lt;='⚙️ SUPUESTOS'!$C$29,"Fase 1",IF(A50&lt;='⚙️ SUPUESTOS'!$C$30,"Fase 2","Fase 3")))</f>
        <v>Fase 1</v>
      </c>
      <c r="C50" s="71" t="str">
        <f>IF('📇 INVENTARIO'!B51="","",'📇 INVENTARIO'!B51)</f>
        <v>C/ Papagayo, 4</v>
      </c>
      <c r="D50" s="70" t="str">
        <f>IF('📇 INVENTARIO'!C51="","",'📇 INVENTARIO'!C51)</f>
        <v>7825406UM5172F</v>
      </c>
      <c r="E50" s="70" t="str">
        <f>IF('📇 INVENTARIO'!D51="","",'📇 INVENTARIO'!D51)</f>
        <v>4718606023</v>
      </c>
      <c r="F50" s="70" t="str">
        <f>IF('📇 INVENTARIO'!F51="","",'📇 INVENTARIO'!F51)</f>
        <v>G</v>
      </c>
      <c r="G50" s="72">
        <f>IF('📇 INVENTARIO'!G51="","",'📇 INVENTARIO'!G51)</f>
        <v>424</v>
      </c>
      <c r="H50" s="72">
        <f>IF('📇 INVENTARIO'!H51="","",'📇 INVENTARIO'!H51)</f>
        <v>85.5</v>
      </c>
      <c r="I50" s="72">
        <f>IF('📇 INVENTARIO'!I51="","",'📇 INVENTARIO'!I51)</f>
        <v>169.8</v>
      </c>
      <c r="J50" s="72">
        <f>IF('📇 INVENTARIO'!J51="","",'📇 INVENTARIO'!J51)</f>
        <v>1965</v>
      </c>
      <c r="K50" s="73">
        <f>IF($C50="","",(G50-'⚙️ SUPUESTOS'!$C$20)/('⚙️ SUPUESTOS'!$C$25-'⚙️ SUPUESTOS'!$C$20))</f>
        <v>0.48364888123924271</v>
      </c>
      <c r="L50" s="73">
        <f>IF($C50="","",VLOOKUP($E50,'📊 SECCIONES'!$B$4:$S$9,16,FALSE()))</f>
        <v>0.54128061278831963</v>
      </c>
      <c r="M50" s="73">
        <f>IF($C50="","",VLOOKUP($E50,'📊 SECCIONES'!$B$4:$S$9,17,FALSE()))</f>
        <v>0.59585492227979275</v>
      </c>
      <c r="N50" s="73">
        <f>IF($C50="","",VLOOKUP($E50,'📊 SECCIONES'!$B$4:$S$9,18,FALSE()))</f>
        <v>0.28636363636363632</v>
      </c>
      <c r="O50" s="74">
        <f>IF($C50="","",ROUND('⚙️ SUPUESTOS'!$C$21*K50+'⚙️ SUPUESTOS'!$C$22*L50+'⚙️ SUPUESTOS'!$C$23*M50+'⚙️ SUPUESTOS'!$C$24*N50,4))</f>
        <v>0.49430000000000002</v>
      </c>
      <c r="P50" s="75">
        <f>IF($C50="","",VLOOKUP($E50,'📊 SECCIONES'!$B$4:$S$9,7,FALSE()))</f>
        <v>39.409999999999997</v>
      </c>
      <c r="Q50" s="76">
        <f>IF($C50="","",VLOOKUP($E50,'📊 SECCIONES'!$B$4:$S$9,8,FALSE()))</f>
        <v>22486</v>
      </c>
      <c r="R50" s="75">
        <f>IF($C50="","",VLOOKUP($E50,'📊 SECCIONES'!$B$4:$S$9,10,FALSE()))</f>
        <v>16.899999999999999</v>
      </c>
      <c r="S50" s="72">
        <f>IF('📇 INVENTARIO'!K51="","",'📇 INVENTARIO'!K51)</f>
        <v>3</v>
      </c>
      <c r="T50" s="77" t="str">
        <f t="shared" si="0"/>
        <v>Objetivo: alcanzar calificación C. Actual: Cal.G. SATE integral + cubierta + carpinterías triple + aerotermia + instalación fotovoltaica</v>
      </c>
      <c r="U50" s="70" t="str">
        <f t="shared" si="1"/>
        <v>—</v>
      </c>
      <c r="V50" s="78">
        <f>IF('📇 INVENTARIO'!L51="","",'📇 INVENTARIO'!L51)</f>
        <v>100.9</v>
      </c>
      <c r="W50" s="75">
        <f>IF($C50="","",V50*'⚙️ SUPUESTOS'!$C$8*'⚙️ SUPUESTOS'!$C$9)</f>
        <v>21.189</v>
      </c>
      <c r="X50" s="78">
        <f>IF('📇 INVENTARIO'!N51="","",'📇 INVENTARIO'!N51)</f>
        <v>1381</v>
      </c>
      <c r="Y50" s="78">
        <f>IF($C50="","",W50*X50*'⚙️ SUPUESTOS'!$C$7)</f>
        <v>26335.808100000002</v>
      </c>
      <c r="Z50" s="76">
        <f>IF($C50="","",W50*'⚙️ SUPUESTOS'!$C$10)</f>
        <v>28287.314999999999</v>
      </c>
      <c r="AA50" s="76">
        <f>IF($C50="","",Y50*('⚙️ SUPUESTOS'!$C$12*'⚙️ SUPUESTOS'!$C$11+(1-'⚙️ SUPUESTOS'!$C$12)*'⚙️ SUPUESTOS'!$C$13))</f>
        <v>1796.1021124200004</v>
      </c>
      <c r="AB50" s="76">
        <f>IF($C50="","",IF(Y50&gt;0,ROUND(Y50*'⚙️ SUPUESTOS'!$C$12*'⚙️ SUPUESTOS'!$C$11,0),""))</f>
        <v>658</v>
      </c>
      <c r="AC50" s="76">
        <f>IF($C50="","",IF(Y50&gt;0,ROUND(Y50*(1-'⚙️ SUPUESTOS'!$C$12)*'⚙️ SUPUESTOS'!$C$13,0),""))</f>
        <v>1138</v>
      </c>
      <c r="AD50" s="76">
        <f t="shared" si="2"/>
        <v>16615</v>
      </c>
      <c r="AE50" s="75">
        <f t="shared" si="3"/>
        <v>15.749279957077015</v>
      </c>
      <c r="AF50" s="70" t="str">
        <f>IF($C50="","",IF(AE50="","—",IF(AE50&lt;='⚙️ SUPUESTOS'!$C$32,"✔ Muy recomendable",IF(AE50&lt;='⚙️ SUPUESTOS'!$C$33,"✔ Recomendable","Valorar"))))</f>
        <v>✔ Recomendable</v>
      </c>
      <c r="AG50" s="79">
        <f>IF('📇 INVENTARIO'!O51="","",'📇 INVENTARIO'!O51)</f>
        <v>41.649729999999998</v>
      </c>
      <c r="AH50" s="79">
        <f>IF('📇 INVENTARIO'!P51="","",'📇 INVENTARIO'!P51)</f>
        <v>-4.7085499999999998</v>
      </c>
    </row>
    <row r="51" spans="1:34" ht="45" customHeight="1">
      <c r="A51" s="58">
        <f>IF($C51="","",RANK(O51,$O$3:$O$265,0)+COUNTIF($O$3:O51,O51)-1)</f>
        <v>49</v>
      </c>
      <c r="B51" s="59" t="str">
        <f>IF($C51="","",IF(A51&lt;='⚙️ SUPUESTOS'!$C$29,"Fase 1",IF(A51&lt;='⚙️ SUPUESTOS'!$C$30,"Fase 2","Fase 3")))</f>
        <v>Fase 1</v>
      </c>
      <c r="C51" s="60" t="str">
        <f>IF('📇 INVENTARIO'!B54="","",'📇 INVENTARIO'!B54)</f>
        <v>C/ Rincón del Esgueva, 15</v>
      </c>
      <c r="D51" s="59" t="str">
        <f>IF('📇 INVENTARIO'!C54="","",'📇 INVENTARIO'!C54)</f>
        <v>7726408UM5172F</v>
      </c>
      <c r="E51" s="59" t="str">
        <f>IF('📇 INVENTARIO'!D54="","",'📇 INVENTARIO'!D54)</f>
        <v>4718606023</v>
      </c>
      <c r="F51" s="59" t="str">
        <f>IF('📇 INVENTARIO'!F54="","",'📇 INVENTARIO'!F54)</f>
        <v>F</v>
      </c>
      <c r="G51" s="61">
        <f>IF('📇 INVENTARIO'!G54="","",'📇 INVENTARIO'!G54)</f>
        <v>412</v>
      </c>
      <c r="H51" s="61">
        <f>IF('📇 INVENTARIO'!H54="","",'📇 INVENTARIO'!H54)</f>
        <v>87</v>
      </c>
      <c r="I51" s="61">
        <f>IF('📇 INVENTARIO'!I54="","",'📇 INVENTARIO'!I54)</f>
        <v>296.89999999999998</v>
      </c>
      <c r="J51" s="61">
        <f>IF('📇 INVENTARIO'!J54="","",'📇 INVENTARIO'!J54)</f>
        <v>1936</v>
      </c>
      <c r="K51" s="62">
        <f>IF($C51="","",(G51-'⚙️ SUPUESTOS'!$C$20)/('⚙️ SUPUESTOS'!$C$25-'⚙️ SUPUESTOS'!$C$20))</f>
        <v>0.4629948364888124</v>
      </c>
      <c r="L51" s="62">
        <f>IF($C51="","",VLOOKUP($E51,'📊 SECCIONES'!$B$4:$S$9,16,FALSE()))</f>
        <v>0.54128061278831963</v>
      </c>
      <c r="M51" s="62">
        <f>IF($C51="","",VLOOKUP($E51,'📊 SECCIONES'!$B$4:$S$9,17,FALSE()))</f>
        <v>0.59585492227979275</v>
      </c>
      <c r="N51" s="62">
        <f>IF($C51="","",VLOOKUP($E51,'📊 SECCIONES'!$B$4:$S$9,18,FALSE()))</f>
        <v>0.28636363636363632</v>
      </c>
      <c r="O51" s="63">
        <f>IF($C51="","",ROUND('⚙️ SUPUESTOS'!$C$21*K51+'⚙️ SUPUESTOS'!$C$22*L51+'⚙️ SUPUESTOS'!$C$23*M51+'⚙️ SUPUESTOS'!$C$24*N51,4))</f>
        <v>0.4829</v>
      </c>
      <c r="P51" s="64">
        <f>IF($C51="","",VLOOKUP($E51,'📊 SECCIONES'!$B$4:$S$9,7,FALSE()))</f>
        <v>39.409999999999997</v>
      </c>
      <c r="Q51" s="65">
        <f>IF($C51="","",VLOOKUP($E51,'📊 SECCIONES'!$B$4:$S$9,8,FALSE()))</f>
        <v>22486</v>
      </c>
      <c r="R51" s="64">
        <f>IF($C51="","",VLOOKUP($E51,'📊 SECCIONES'!$B$4:$S$9,10,FALSE()))</f>
        <v>16.899999999999999</v>
      </c>
      <c r="S51" s="61">
        <f>IF('📇 INVENTARIO'!K54="","",'📇 INVENTARIO'!K54)</f>
        <v>1</v>
      </c>
      <c r="T51" s="66" t="str">
        <f t="shared" si="0"/>
        <v>Objetivo: alcanzar calificación C. Actual: Cal.F. SATE integral + cubierta + carpinterías triple + aerotermia + instalación fotovoltaica</v>
      </c>
      <c r="U51" s="59" t="str">
        <f t="shared" si="1"/>
        <v>—</v>
      </c>
      <c r="V51" s="67">
        <f>IF('📇 INVENTARIO'!L54="","",'📇 INVENTARIO'!L54)</f>
        <v>80.7</v>
      </c>
      <c r="W51" s="64">
        <f>IF($C51="","",V51*'⚙️ SUPUESTOS'!$C$8*'⚙️ SUPUESTOS'!$C$9)</f>
        <v>16.946999999999999</v>
      </c>
      <c r="X51" s="67">
        <f>IF('📇 INVENTARIO'!N54="","",'📇 INVENTARIO'!N54)</f>
        <v>1528</v>
      </c>
      <c r="Y51" s="67">
        <f>IF($C51="","",W51*X51*'⚙️ SUPUESTOS'!$C$7)</f>
        <v>23305.5144</v>
      </c>
      <c r="Z51" s="65">
        <f>IF($C51="","",W51*'⚙️ SUPUESTOS'!$C$10)</f>
        <v>22624.244999999999</v>
      </c>
      <c r="AA51" s="65">
        <f>IF($C51="","",Y51*('⚙️ SUPUESTOS'!$C$12*'⚙️ SUPUESTOS'!$C$11+(1-'⚙️ SUPUESTOS'!$C$12)*'⚙️ SUPUESTOS'!$C$13))</f>
        <v>1589.4360820800002</v>
      </c>
      <c r="AB51" s="65">
        <f>IF($C51="","",IF(Y51&gt;0,ROUND(Y51*'⚙️ SUPUESTOS'!$C$12*'⚙️ SUPUESTOS'!$C$11,0),""))</f>
        <v>583</v>
      </c>
      <c r="AC51" s="65">
        <f>IF($C51="","",IF(Y51&gt;0,ROUND(Y51*(1-'⚙️ SUPUESTOS'!$C$12)*'⚙️ SUPUESTOS'!$C$13,0),""))</f>
        <v>1007</v>
      </c>
      <c r="AD51" s="65">
        <f t="shared" si="2"/>
        <v>17112</v>
      </c>
      <c r="AE51" s="64">
        <f t="shared" si="3"/>
        <v>14.234133259635707</v>
      </c>
      <c r="AF51" s="59" t="str">
        <f>IF($C51="","",IF(AE51="","—",IF(AE51&lt;='⚙️ SUPUESTOS'!$C$32,"✔ Muy recomendable",IF(AE51&lt;='⚙️ SUPUESTOS'!$C$33,"✔ Recomendable","Valorar"))))</f>
        <v>✔ Muy recomendable</v>
      </c>
      <c r="AG51" s="68">
        <f>IF('📇 INVENTARIO'!O52="","",'📇 INVENTARIO'!O52)</f>
        <v>41.648299999999999</v>
      </c>
      <c r="AH51" s="68">
        <f>IF('📇 INVENTARIO'!P52="","",'📇 INVENTARIO'!P52)</f>
        <v>-4.7094399999999998</v>
      </c>
    </row>
    <row r="52" spans="1:34" ht="45" customHeight="1">
      <c r="A52" s="58">
        <f>IF($C52="","",RANK(O52,$O$3:$O$265,0)+COUNTIF($O$3:O52,O52)-1)</f>
        <v>50</v>
      </c>
      <c r="B52" s="59" t="str">
        <f>IF($C52="","",IF(A52&lt;='⚙️ SUPUESTOS'!$C$29,"Fase 1",IF(A52&lt;='⚙️ SUPUESTOS'!$C$30,"Fase 2","Fase 3")))</f>
        <v>Fase 1</v>
      </c>
      <c r="C52" s="60" t="str">
        <f>IF('📇 INVENTARIO'!B52="","",'📇 INVENTARIO'!B52)</f>
        <v>C/ Faisán, 11</v>
      </c>
      <c r="D52" s="59" t="str">
        <f>IF('📇 INVENTARIO'!C52="","",'📇 INVENTARIO'!C52)</f>
        <v>7824515UM5172D</v>
      </c>
      <c r="E52" s="59" t="str">
        <f>IF('📇 INVENTARIO'!D52="","",'📇 INVENTARIO'!D52)</f>
        <v>4718606026</v>
      </c>
      <c r="F52" s="59" t="str">
        <f>IF('📇 INVENTARIO'!F52="","",'📇 INVENTARIO'!F52)</f>
        <v>E</v>
      </c>
      <c r="G52" s="61">
        <f>IF('📇 INVENTARIO'!G52="","",'📇 INVENTARIO'!G52)</f>
        <v>269</v>
      </c>
      <c r="H52" s="61">
        <f>IF('📇 INVENTARIO'!H52="","",'📇 INVENTARIO'!H52)</f>
        <v>55</v>
      </c>
      <c r="I52" s="61">
        <f>IF('📇 INVENTARIO'!I52="","",'📇 INVENTARIO'!I52)</f>
        <v>164.8</v>
      </c>
      <c r="J52" s="61">
        <f>IF('📇 INVENTARIO'!J52="","",'📇 INVENTARIO'!J52)</f>
        <v>1965</v>
      </c>
      <c r="K52" s="62">
        <f>IF($C52="","",(G52-'⚙️ SUPUESTOS'!$C$20)/('⚙️ SUPUESTOS'!$C$25-'⚙️ SUPUESTOS'!$C$20))</f>
        <v>0.21686746987951808</v>
      </c>
      <c r="L52" s="62">
        <f>IF($C52="","",VLOOKUP($E52,'📊 SECCIONES'!$B$4:$S$9,16,FALSE()))</f>
        <v>1</v>
      </c>
      <c r="M52" s="62">
        <f>IF($C52="","",VLOOKUP($E52,'📊 SECCIONES'!$B$4:$S$9,17,FALSE()))</f>
        <v>1</v>
      </c>
      <c r="N52" s="62">
        <f>IF($C52="","",VLOOKUP($E52,'📊 SECCIONES'!$B$4:$S$9,18,FALSE()))</f>
        <v>0</v>
      </c>
      <c r="O52" s="63">
        <f>IF($C52="","",ROUND('⚙️ SUPUESTOS'!$C$21*K52+'⚙️ SUPUESTOS'!$C$22*L52+'⚙️ SUPUESTOS'!$C$23*M52+'⚙️ SUPUESTOS'!$C$24*N52,4))</f>
        <v>0.4793</v>
      </c>
      <c r="P52" s="64">
        <f>IF($C52="","",VLOOKUP($E52,'📊 SECCIONES'!$B$4:$S$9,7,FALSE()))</f>
        <v>66.510000000000005</v>
      </c>
      <c r="Q52" s="65">
        <f>IF($C52="","",VLOOKUP($E52,'📊 SECCIONES'!$B$4:$S$9,8,FALSE()))</f>
        <v>17450</v>
      </c>
      <c r="R52" s="64">
        <f>IF($C52="","",VLOOKUP($E52,'📊 SECCIONES'!$B$4:$S$9,10,FALSE()))</f>
        <v>10.6</v>
      </c>
      <c r="S52" s="61">
        <f>IF('📇 INVENTARIO'!K52="","",'📇 INVENTARIO'!K52)</f>
        <v>3</v>
      </c>
      <c r="T52" s="66" t="str">
        <f t="shared" si="0"/>
        <v>Objetivo: alcanzar calificación C. Actual: Cal.E. SATE fachada + carpinterías doble + instalación fotovoltaica</v>
      </c>
      <c r="U52" s="59" t="str">
        <f t="shared" si="1"/>
        <v>—</v>
      </c>
      <c r="V52" s="67">
        <f>IF('📇 INVENTARIO'!L52="","",'📇 INVENTARIO'!L52)</f>
        <v>101.1</v>
      </c>
      <c r="W52" s="64">
        <f>IF($C52="","",V52*'⚙️ SUPUESTOS'!$C$8*'⚙️ SUPUESTOS'!$C$9)</f>
        <v>21.230999999999998</v>
      </c>
      <c r="X52" s="67">
        <f>IF('📇 INVENTARIO'!N52="","",'📇 INVENTARIO'!N52)</f>
        <v>1390</v>
      </c>
      <c r="Y52" s="67">
        <f>IF($C52="","",W52*X52*'⚙️ SUPUESTOS'!$C$7)</f>
        <v>26559.980999999996</v>
      </c>
      <c r="Z52" s="65">
        <f>IF($C52="","",W52*'⚙️ SUPUESTOS'!$C$10)</f>
        <v>28343.384999999998</v>
      </c>
      <c r="AA52" s="65">
        <f>IF($C52="","",Y52*('⚙️ SUPUESTOS'!$C$12*'⚙️ SUPUESTOS'!$C$11+(1-'⚙️ SUPUESTOS'!$C$12)*'⚙️ SUPUESTOS'!$C$13))</f>
        <v>1811.3907042000001</v>
      </c>
      <c r="AB52" s="65">
        <f>IF($C52="","",IF(Y52&gt;0,ROUND(Y52*'⚙️ SUPUESTOS'!$C$12*'⚙️ SUPUESTOS'!$C$11,0),""))</f>
        <v>664</v>
      </c>
      <c r="AC52" s="65">
        <f>IF($C52="","",IF(Y52&gt;0,ROUND(Y52*(1-'⚙️ SUPUESTOS'!$C$12)*'⚙️ SUPUESTOS'!$C$13,0),""))</f>
        <v>1147</v>
      </c>
      <c r="AD52" s="76">
        <f t="shared" si="2"/>
        <v>16941</v>
      </c>
      <c r="AE52" s="75">
        <f t="shared" si="3"/>
        <v>15.647306201959251</v>
      </c>
      <c r="AF52" s="70" t="str">
        <f>IF($C52="","",IF(AE52="","—",IF(AE52&lt;='⚙️ SUPUESTOS'!$C$32,"✔ Muy recomendable",IF(AE52&lt;='⚙️ SUPUESTOS'!$C$33,"✔ Recomendable","Valorar"))))</f>
        <v>✔ Recomendable</v>
      </c>
      <c r="AG52" s="79">
        <f>IF('📇 INVENTARIO'!O53="","",'📇 INVENTARIO'!O53)</f>
        <v>41.648449999999997</v>
      </c>
      <c r="AH52" s="79">
        <f>IF('📇 INVENTARIO'!P53="","",'📇 INVENTARIO'!P53)</f>
        <v>-4.7098800000000001</v>
      </c>
    </row>
    <row r="53" spans="1:34" ht="45" customHeight="1">
      <c r="A53" s="69">
        <f>IF($C53="","",RANK(O53,$O$3:$O$265,0)+COUNTIF($O$3:O53,O53)-1)</f>
        <v>51</v>
      </c>
      <c r="B53" s="70" t="str">
        <f>IF($C53="","",IF(A53&lt;='⚙️ SUPUESTOS'!$C$29,"Fase 1",IF(A53&lt;='⚙️ SUPUESTOS'!$C$30,"Fase 2","Fase 3")))</f>
        <v>Fase 1</v>
      </c>
      <c r="C53" s="71" t="str">
        <f>IF('📇 INVENTARIO'!B53="","",'📇 INVENTARIO'!B53)</f>
        <v>C/ Faisán, 9</v>
      </c>
      <c r="D53" s="70" t="str">
        <f>IF('📇 INVENTARIO'!C53="","",'📇 INVENTARIO'!C53)</f>
        <v>7724219UM5172D</v>
      </c>
      <c r="E53" s="70" t="str">
        <f>IF('📇 INVENTARIO'!D53="","",'📇 INVENTARIO'!D53)</f>
        <v>4718606026</v>
      </c>
      <c r="F53" s="70" t="str">
        <f>IF('📇 INVENTARIO'!F53="","",'📇 INVENTARIO'!F53)</f>
        <v>E</v>
      </c>
      <c r="G53" s="72">
        <f>IF('📇 INVENTARIO'!G53="","",'📇 INVENTARIO'!G53)</f>
        <v>268</v>
      </c>
      <c r="H53" s="72">
        <f>IF('📇 INVENTARIO'!H53="","",'📇 INVENTARIO'!H53)</f>
        <v>56.5</v>
      </c>
      <c r="I53" s="72">
        <f>IF('📇 INVENTARIO'!I53="","",'📇 INVENTARIO'!I53)</f>
        <v>119.3</v>
      </c>
      <c r="J53" s="72">
        <f>IF('📇 INVENTARIO'!J53="","",'📇 INVENTARIO'!J53)</f>
        <v>1965</v>
      </c>
      <c r="K53" s="73">
        <f>IF($C53="","",(G53-'⚙️ SUPUESTOS'!$C$20)/('⚙️ SUPUESTOS'!$C$25-'⚙️ SUPUESTOS'!$C$20))</f>
        <v>0.21514629948364888</v>
      </c>
      <c r="L53" s="73">
        <f>IF($C53="","",VLOOKUP($E53,'📊 SECCIONES'!$B$4:$S$9,16,FALSE()))</f>
        <v>1</v>
      </c>
      <c r="M53" s="73">
        <f>IF($C53="","",VLOOKUP($E53,'📊 SECCIONES'!$B$4:$S$9,17,FALSE()))</f>
        <v>1</v>
      </c>
      <c r="N53" s="73">
        <f>IF($C53="","",VLOOKUP($E53,'📊 SECCIONES'!$B$4:$S$9,18,FALSE()))</f>
        <v>0</v>
      </c>
      <c r="O53" s="74">
        <f>IF($C53="","",ROUND('⚙️ SUPUESTOS'!$C$21*K53+'⚙️ SUPUESTOS'!$C$22*L53+'⚙️ SUPUESTOS'!$C$23*M53+'⚙️ SUPUESTOS'!$C$24*N53,4))</f>
        <v>0.4783</v>
      </c>
      <c r="P53" s="75">
        <f>IF($C53="","",VLOOKUP($E53,'📊 SECCIONES'!$B$4:$S$9,7,FALSE()))</f>
        <v>66.510000000000005</v>
      </c>
      <c r="Q53" s="76">
        <f>IF($C53="","",VLOOKUP($E53,'📊 SECCIONES'!$B$4:$S$9,8,FALSE()))</f>
        <v>17450</v>
      </c>
      <c r="R53" s="75">
        <f>IF($C53="","",VLOOKUP($E53,'📊 SECCIONES'!$B$4:$S$9,10,FALSE()))</f>
        <v>10.6</v>
      </c>
      <c r="S53" s="72">
        <f>IF('📇 INVENTARIO'!K53="","",'📇 INVENTARIO'!K53)</f>
        <v>3</v>
      </c>
      <c r="T53" s="77" t="str">
        <f t="shared" si="0"/>
        <v>Objetivo: alcanzar calificación C. Actual: Cal.E. SATE fachada + carpinterías doble + instalación fotovoltaica</v>
      </c>
      <c r="U53" s="70" t="str">
        <f t="shared" si="1"/>
        <v>—</v>
      </c>
      <c r="V53" s="78">
        <f>IF('📇 INVENTARIO'!L53="","",'📇 INVENTARIO'!L53)</f>
        <v>96.9</v>
      </c>
      <c r="W53" s="75">
        <f>IF($C53="","",V53*'⚙️ SUPUESTOS'!$C$8*'⚙️ SUPUESTOS'!$C$9)</f>
        <v>20.349</v>
      </c>
      <c r="X53" s="78">
        <f>IF('📇 INVENTARIO'!N53="","",'📇 INVENTARIO'!N53)</f>
        <v>1536</v>
      </c>
      <c r="Y53" s="78">
        <f>IF($C53="","",W53*X53*'⚙️ SUPUESTOS'!$C$7)</f>
        <v>28130.457599999998</v>
      </c>
      <c r="Z53" s="76">
        <f>IF($C53="","",W53*'⚙️ SUPUESTOS'!$C$10)</f>
        <v>27165.915000000001</v>
      </c>
      <c r="AA53" s="76">
        <f>IF($C53="","",Y53*('⚙️ SUPUESTOS'!$C$12*'⚙️ SUPUESTOS'!$C$11+(1-'⚙️ SUPUESTOS'!$C$12)*'⚙️ SUPUESTOS'!$C$13))</f>
        <v>1918.4972083200003</v>
      </c>
      <c r="AB53" s="76">
        <f>IF($C53="","",IF(Y53&gt;0,ROUND(Y53*'⚙️ SUPUESTOS'!$C$12*'⚙️ SUPUESTOS'!$C$11,0),""))</f>
        <v>703</v>
      </c>
      <c r="AC53" s="76">
        <f>IF($C53="","",IF(Y53&gt;0,ROUND(Y53*(1-'⚙️ SUPUESTOS'!$C$12)*'⚙️ SUPUESTOS'!$C$13,0),""))</f>
        <v>1215</v>
      </c>
      <c r="AD53" s="65">
        <f t="shared" si="2"/>
        <v>20797</v>
      </c>
      <c r="AE53" s="64">
        <f t="shared" si="3"/>
        <v>14.159997148908438</v>
      </c>
      <c r="AF53" s="59" t="str">
        <f>IF($C53="","",IF(AE53="","—",IF(AE53&lt;='⚙️ SUPUESTOS'!$C$32,"✔ Muy recomendable",IF(AE53&lt;='⚙️ SUPUESTOS'!$C$33,"✔ Recomendable","Valorar"))))</f>
        <v>✔ Muy recomendable</v>
      </c>
      <c r="AG53" s="68">
        <f>IF('📇 INVENTARIO'!O54="","",'📇 INVENTARIO'!O54)</f>
        <v>41.65016</v>
      </c>
      <c r="AH53" s="68">
        <f>IF('📇 INVENTARIO'!P54="","",'📇 INVENTARIO'!P54)</f>
        <v>-4.7096</v>
      </c>
    </row>
    <row r="54" spans="1:34" ht="45" customHeight="1">
      <c r="A54" s="69">
        <f>IF($C54="","",RANK(O54,$O$3:$O$265,0)+COUNTIF($O$3:O54,O54)-1)</f>
        <v>52</v>
      </c>
      <c r="B54" s="70" t="str">
        <f>IF($C54="","",IF(A54&lt;='⚙️ SUPUESTOS'!$C$29,"Fase 1",IF(A54&lt;='⚙️ SUPUESTOS'!$C$30,"Fase 2","Fase 3")))</f>
        <v>Fase 1</v>
      </c>
      <c r="C54" s="71" t="str">
        <f>IF('📇 INVENTARIO'!B55="","",'📇 INVENTARIO'!B55)</f>
        <v>C/ Periquito, 2</v>
      </c>
      <c r="D54" s="70" t="str">
        <f>IF('📇 INVENTARIO'!C55="","",'📇 INVENTARIO'!C55)</f>
        <v>7724203UM5172D</v>
      </c>
      <c r="E54" s="70" t="str">
        <f>IF('📇 INVENTARIO'!D55="","",'📇 INVENTARIO'!D55)</f>
        <v>4718606026</v>
      </c>
      <c r="F54" s="70" t="str">
        <f>IF('📇 INVENTARIO'!F55="","",'📇 INVENTARIO'!F55)</f>
        <v>E</v>
      </c>
      <c r="G54" s="72">
        <f>IF('📇 INVENTARIO'!G55="","",'📇 INVENTARIO'!G55)</f>
        <v>264</v>
      </c>
      <c r="H54" s="72">
        <f>IF('📇 INVENTARIO'!H55="","",'📇 INVENTARIO'!H55)</f>
        <v>55.5</v>
      </c>
      <c r="I54" s="72">
        <f>IF('📇 INVENTARIO'!I55="","",'📇 INVENTARIO'!I55)</f>
        <v>120.8</v>
      </c>
      <c r="J54" s="72">
        <f>IF('📇 INVENTARIO'!J55="","",'📇 INVENTARIO'!J55)</f>
        <v>1965</v>
      </c>
      <c r="K54" s="73">
        <f>IF($C54="","",(G54-'⚙️ SUPUESTOS'!$C$20)/('⚙️ SUPUESTOS'!$C$25-'⚙️ SUPUESTOS'!$C$20))</f>
        <v>0.20826161790017211</v>
      </c>
      <c r="L54" s="73">
        <f>IF($C54="","",VLOOKUP($E54,'📊 SECCIONES'!$B$4:$S$9,16,FALSE()))</f>
        <v>1</v>
      </c>
      <c r="M54" s="73">
        <f>IF($C54="","",VLOOKUP($E54,'📊 SECCIONES'!$B$4:$S$9,17,FALSE()))</f>
        <v>1</v>
      </c>
      <c r="N54" s="73">
        <f>IF($C54="","",VLOOKUP($E54,'📊 SECCIONES'!$B$4:$S$9,18,FALSE()))</f>
        <v>0</v>
      </c>
      <c r="O54" s="74">
        <f>IF($C54="","",ROUND('⚙️ SUPUESTOS'!$C$21*K54+'⚙️ SUPUESTOS'!$C$22*L54+'⚙️ SUPUESTOS'!$C$23*M54+'⚙️ SUPUESTOS'!$C$24*N54,4))</f>
        <v>0.47449999999999998</v>
      </c>
      <c r="P54" s="75">
        <f>IF($C54="","",VLOOKUP($E54,'📊 SECCIONES'!$B$4:$S$9,7,FALSE()))</f>
        <v>66.510000000000005</v>
      </c>
      <c r="Q54" s="76">
        <f>IF($C54="","",VLOOKUP($E54,'📊 SECCIONES'!$B$4:$S$9,8,FALSE()))</f>
        <v>17450</v>
      </c>
      <c r="R54" s="75">
        <f>IF($C54="","",VLOOKUP($E54,'📊 SECCIONES'!$B$4:$S$9,10,FALSE()))</f>
        <v>10.6</v>
      </c>
      <c r="S54" s="72">
        <f>IF('📇 INVENTARIO'!K55="","",'📇 INVENTARIO'!K55)</f>
        <v>3</v>
      </c>
      <c r="T54" s="77" t="str">
        <f t="shared" si="0"/>
        <v>Objetivo: alcanzar calificación C. Actual: Cal.E. SATE fachada + carpinterías doble + instalación fotovoltaica</v>
      </c>
      <c r="U54" s="70" t="str">
        <f t="shared" si="1"/>
        <v>—</v>
      </c>
      <c r="V54" s="78">
        <f>IF('📇 INVENTARIO'!L55="","",'📇 INVENTARIO'!L55)</f>
        <v>112.5</v>
      </c>
      <c r="W54" s="75">
        <f>IF($C54="","",V54*'⚙️ SUPUESTOS'!$C$8*'⚙️ SUPUESTOS'!$C$9)</f>
        <v>23.625</v>
      </c>
      <c r="X54" s="78">
        <f>IF('📇 INVENTARIO'!N55="","",'📇 INVENTARIO'!N55)</f>
        <v>1405</v>
      </c>
      <c r="Y54" s="78">
        <f>IF($C54="","",W54*X54*'⚙️ SUPUESTOS'!$C$7)</f>
        <v>29873.8125</v>
      </c>
      <c r="Z54" s="76">
        <f>IF($C54="","",W54*'⚙️ SUPUESTOS'!$C$10)</f>
        <v>31539.375</v>
      </c>
      <c r="AA54" s="76">
        <f>IF($C54="","",Y54*('⚙️ SUPUESTOS'!$C$12*'⚙️ SUPUESTOS'!$C$11+(1-'⚙️ SUPUESTOS'!$C$12)*'⚙️ SUPUESTOS'!$C$13))</f>
        <v>2037.3940125000004</v>
      </c>
      <c r="AB54" s="76">
        <f>IF($C54="","",IF(Y54&gt;0,ROUND(Y54*'⚙️ SUPUESTOS'!$C$12*'⚙️ SUPUESTOS'!$C$11,0),""))</f>
        <v>747</v>
      </c>
      <c r="AC54" s="76">
        <f>IF($C54="","",IF(Y54&gt;0,ROUND(Y54*(1-'⚙️ SUPUESTOS'!$C$12)*'⚙️ SUPUESTOS'!$C$13,0),""))</f>
        <v>1291</v>
      </c>
      <c r="AD54" s="76">
        <f t="shared" si="2"/>
        <v>19395</v>
      </c>
      <c r="AE54" s="75">
        <f t="shared" si="3"/>
        <v>15.480253110835131</v>
      </c>
      <c r="AF54" s="70" t="str">
        <f>IF($C54="","",IF(AE54="","—",IF(AE54&lt;='⚙️ SUPUESTOS'!$C$32,"✔ Muy recomendable",IF(AE54&lt;='⚙️ SUPUESTOS'!$C$33,"✔ Recomendable","Valorar"))))</f>
        <v>✔ Recomendable</v>
      </c>
      <c r="AG54" s="79">
        <f>IF('📇 INVENTARIO'!O55="","",'📇 INVENTARIO'!O55)</f>
        <v>41.649419999999999</v>
      </c>
      <c r="AH54" s="79">
        <f>IF('📇 INVENTARIO'!P55="","",'📇 INVENTARIO'!P55)</f>
        <v>-4.7100499999999998</v>
      </c>
    </row>
    <row r="55" spans="1:34" ht="45" customHeight="1">
      <c r="A55" s="58">
        <f>IF($C55="","",RANK(O55,$O$3:$O$265,0)+COUNTIF($O$3:O55,O55)-1)</f>
        <v>53</v>
      </c>
      <c r="B55" s="59" t="str">
        <f>IF($C55="","",IF(A55&lt;='⚙️ SUPUESTOS'!$C$29,"Fase 1",IF(A55&lt;='⚙️ SUPUESTOS'!$C$30,"Fase 2","Fase 3")))</f>
        <v>Fase 1</v>
      </c>
      <c r="C55" s="60" t="str">
        <f>IF('📇 INVENTARIO'!B56="","",'📇 INVENTARIO'!B56)</f>
        <v>C/ Garza, 4</v>
      </c>
      <c r="D55" s="59" t="str">
        <f>IF('📇 INVENTARIO'!C56="","",'📇 INVENTARIO'!C56)</f>
        <v>7825410UM5172F</v>
      </c>
      <c r="E55" s="59" t="str">
        <f>IF('📇 INVENTARIO'!D56="","",'📇 INVENTARIO'!D56)</f>
        <v>4718606023</v>
      </c>
      <c r="F55" s="59" t="str">
        <f>IF('📇 INVENTARIO'!F56="","",'📇 INVENTARIO'!F56)</f>
        <v>F</v>
      </c>
      <c r="G55" s="61">
        <f>IF('📇 INVENTARIO'!G56="","",'📇 INVENTARIO'!G56)</f>
        <v>402</v>
      </c>
      <c r="H55" s="61">
        <f>IF('📇 INVENTARIO'!H56="","",'📇 INVENTARIO'!H56)</f>
        <v>85</v>
      </c>
      <c r="I55" s="61">
        <f>IF('📇 INVENTARIO'!I56="","",'📇 INVENTARIO'!I56)</f>
        <v>211.5</v>
      </c>
      <c r="J55" s="61">
        <f>IF('📇 INVENTARIO'!J56="","",'📇 INVENTARIO'!J56)</f>
        <v>1965</v>
      </c>
      <c r="K55" s="62">
        <f>IF($C55="","",(G55-'⚙️ SUPUESTOS'!$C$20)/('⚙️ SUPUESTOS'!$C$25-'⚙️ SUPUESTOS'!$C$20))</f>
        <v>0.44578313253012047</v>
      </c>
      <c r="L55" s="62">
        <f>IF($C55="","",VLOOKUP($E55,'📊 SECCIONES'!$B$4:$S$9,16,FALSE()))</f>
        <v>0.54128061278831963</v>
      </c>
      <c r="M55" s="62">
        <f>IF($C55="","",VLOOKUP($E55,'📊 SECCIONES'!$B$4:$S$9,17,FALSE()))</f>
        <v>0.59585492227979275</v>
      </c>
      <c r="N55" s="62">
        <f>IF($C55="","",VLOOKUP($E55,'📊 SECCIONES'!$B$4:$S$9,18,FALSE()))</f>
        <v>0.28636363636363632</v>
      </c>
      <c r="O55" s="63">
        <f>IF($C55="","",ROUND('⚙️ SUPUESTOS'!$C$21*K55+'⚙️ SUPUESTOS'!$C$22*L55+'⚙️ SUPUESTOS'!$C$23*M55+'⚙️ SUPUESTOS'!$C$24*N55,4))</f>
        <v>0.47349999999999998</v>
      </c>
      <c r="P55" s="64">
        <f>IF($C55="","",VLOOKUP($E55,'📊 SECCIONES'!$B$4:$S$9,7,FALSE()))</f>
        <v>39.409999999999997</v>
      </c>
      <c r="Q55" s="65">
        <f>IF($C55="","",VLOOKUP($E55,'📊 SECCIONES'!$B$4:$S$9,8,FALSE()))</f>
        <v>22486</v>
      </c>
      <c r="R55" s="64">
        <f>IF($C55="","",VLOOKUP($E55,'📊 SECCIONES'!$B$4:$S$9,10,FALSE()))</f>
        <v>16.899999999999999</v>
      </c>
      <c r="S55" s="61">
        <f>IF('📇 INVENTARIO'!K56="","",'📇 INVENTARIO'!K56)</f>
        <v>3</v>
      </c>
      <c r="T55" s="66" t="str">
        <f t="shared" si="0"/>
        <v>Objetivo: alcanzar calificación C. Actual: Cal.F. SATE integral + cubierta + carpinterías triple + aerotermia + instalación fotovoltaica</v>
      </c>
      <c r="U55" s="59" t="str">
        <f t="shared" si="1"/>
        <v>—</v>
      </c>
      <c r="V55" s="67">
        <f>IF('📇 INVENTARIO'!L56="","",'📇 INVENTARIO'!L56)</f>
        <v>101.2</v>
      </c>
      <c r="W55" s="64">
        <f>IF($C55="","",V55*'⚙️ SUPUESTOS'!$C$8*'⚙️ SUPUESTOS'!$C$9)</f>
        <v>21.251999999999999</v>
      </c>
      <c r="X55" s="67">
        <f>IF('📇 INVENTARIO'!N56="","",'📇 INVENTARIO'!N56)</f>
        <v>1382</v>
      </c>
      <c r="Y55" s="67">
        <f>IF($C55="","",W55*X55*'⚙️ SUPUESTOS'!$C$7)</f>
        <v>26433.2376</v>
      </c>
      <c r="Z55" s="65">
        <f>IF($C55="","",W55*'⚙️ SUPUESTOS'!$C$10)</f>
        <v>28371.42</v>
      </c>
      <c r="AA55" s="65">
        <f>IF($C55="","",Y55*('⚙️ SUPUESTOS'!$C$12*'⚙️ SUPUESTOS'!$C$11+(1-'⚙️ SUPUESTOS'!$C$12)*'⚙️ SUPUESTOS'!$C$13))</f>
        <v>1802.7468043200004</v>
      </c>
      <c r="AB55" s="65">
        <f>IF($C55="","",IF(Y55&gt;0,ROUND(Y55*'⚙️ SUPUESTOS'!$C$12*'⚙️ SUPUESTOS'!$C$11,0),""))</f>
        <v>661</v>
      </c>
      <c r="AC55" s="65">
        <f>IF($C55="","",IF(Y55&gt;0,ROUND(Y55*(1-'⚙️ SUPUESTOS'!$C$12)*'⚙️ SUPUESTOS'!$C$13,0),""))</f>
        <v>1142</v>
      </c>
      <c r="AD55" s="65">
        <f t="shared" si="2"/>
        <v>16697</v>
      </c>
      <c r="AE55" s="64">
        <f t="shared" si="3"/>
        <v>15.737883951319361</v>
      </c>
      <c r="AF55" s="59" t="str">
        <f>IF($C55="","",IF(AE55="","—",IF(AE55&lt;='⚙️ SUPUESTOS'!$C$32,"✔ Muy recomendable",IF(AE55&lt;='⚙️ SUPUESTOS'!$C$33,"✔ Recomendable","Valorar"))))</f>
        <v>✔ Recomendable</v>
      </c>
      <c r="AG55" s="68">
        <f>IF('📇 INVENTARIO'!O56="","",'📇 INVENTARIO'!O56)</f>
        <v>41.649410000000003</v>
      </c>
      <c r="AH55" s="68">
        <f>IF('📇 INVENTARIO'!P56="","",'📇 INVENTARIO'!P56)</f>
        <v>-4.7083599999999999</v>
      </c>
    </row>
    <row r="56" spans="1:34" ht="45" customHeight="1">
      <c r="A56" s="58">
        <f>IF($C56="","",RANK(O56,$O$3:$O$265,0)+COUNTIF($O$3:O56,O56)-1)</f>
        <v>54</v>
      </c>
      <c r="B56" s="59" t="str">
        <f>IF($C56="","",IF(A56&lt;='⚙️ SUPUESTOS'!$C$29,"Fase 1",IF(A56&lt;='⚙️ SUPUESTOS'!$C$30,"Fase 2","Fase 3")))</f>
        <v>Fase 1</v>
      </c>
      <c r="C56" s="60" t="str">
        <f>IF('📇 INVENTARIO'!B58="","",'📇 INVENTARIO'!B58)</f>
        <v>C/ Pingüino, 6</v>
      </c>
      <c r="D56" s="59" t="str">
        <f>IF('📇 INVENTARIO'!C58="","",'📇 INVENTARIO'!C58)</f>
        <v>7925703UM5172F</v>
      </c>
      <c r="E56" s="59" t="str">
        <f>IF('📇 INVENTARIO'!D58="","",'📇 INVENTARIO'!D58)</f>
        <v>4718606023</v>
      </c>
      <c r="F56" s="59" t="str">
        <f>IF('📇 INVENTARIO'!F58="","",'📇 INVENTARIO'!F58)</f>
        <v>G</v>
      </c>
      <c r="G56" s="61">
        <f>IF('📇 INVENTARIO'!G58="","",'📇 INVENTARIO'!G58)</f>
        <v>401</v>
      </c>
      <c r="H56" s="61">
        <f>IF('📇 INVENTARIO'!H58="","",'📇 INVENTARIO'!H58)</f>
        <v>85</v>
      </c>
      <c r="I56" s="61">
        <f>IF('📇 INVENTARIO'!I58="","",'📇 INVENTARIO'!I58)</f>
        <v>202.5</v>
      </c>
      <c r="J56" s="61">
        <f>IF('📇 INVENTARIO'!J58="","",'📇 INVENTARIO'!J58)</f>
        <v>1965</v>
      </c>
      <c r="K56" s="62">
        <f>IF($C56="","",(G56-'⚙️ SUPUESTOS'!$C$20)/('⚙️ SUPUESTOS'!$C$25-'⚙️ SUPUESTOS'!$C$20))</f>
        <v>0.44406196213425131</v>
      </c>
      <c r="L56" s="62">
        <f>IF($C56="","",VLOOKUP($E56,'📊 SECCIONES'!$B$4:$S$9,16,FALSE()))</f>
        <v>0.54128061278831963</v>
      </c>
      <c r="M56" s="62">
        <f>IF($C56="","",VLOOKUP($E56,'📊 SECCIONES'!$B$4:$S$9,17,FALSE()))</f>
        <v>0.59585492227979275</v>
      </c>
      <c r="N56" s="62">
        <f>IF($C56="","",VLOOKUP($E56,'📊 SECCIONES'!$B$4:$S$9,18,FALSE()))</f>
        <v>0.28636363636363632</v>
      </c>
      <c r="O56" s="63">
        <f>IF($C56="","",ROUND('⚙️ SUPUESTOS'!$C$21*K56+'⚙️ SUPUESTOS'!$C$22*L56+'⚙️ SUPUESTOS'!$C$23*M56+'⚙️ SUPUESTOS'!$C$24*N56,4))</f>
        <v>0.47249999999999998</v>
      </c>
      <c r="P56" s="64">
        <f>IF($C56="","",VLOOKUP($E56,'📊 SECCIONES'!$B$4:$S$9,7,FALSE()))</f>
        <v>39.409999999999997</v>
      </c>
      <c r="Q56" s="65">
        <f>IF($C56="","",VLOOKUP($E56,'📊 SECCIONES'!$B$4:$S$9,8,FALSE()))</f>
        <v>22486</v>
      </c>
      <c r="R56" s="64">
        <f>IF($C56="","",VLOOKUP($E56,'📊 SECCIONES'!$B$4:$S$9,10,FALSE()))</f>
        <v>16.899999999999999</v>
      </c>
      <c r="S56" s="61">
        <f>IF('📇 INVENTARIO'!K58="","",'📇 INVENTARIO'!K58)</f>
        <v>3</v>
      </c>
      <c r="T56" s="66" t="str">
        <f t="shared" si="0"/>
        <v>Objetivo: alcanzar calificación C. Actual: Cal.G. SATE integral + cubierta + carpinterías triple + aerotermia + instalación fotovoltaica</v>
      </c>
      <c r="U56" s="59" t="str">
        <f t="shared" si="1"/>
        <v>—</v>
      </c>
      <c r="V56" s="67">
        <f>IF('📇 INVENTARIO'!L58="","",'📇 INVENTARIO'!L58)</f>
        <v>102</v>
      </c>
      <c r="W56" s="64">
        <f>IF($C56="","",V56*'⚙️ SUPUESTOS'!$C$8*'⚙️ SUPUESTOS'!$C$9)</f>
        <v>21.419999999999998</v>
      </c>
      <c r="X56" s="67">
        <f>IF('📇 INVENTARIO'!N58="","",'📇 INVENTARIO'!N58)</f>
        <v>1295</v>
      </c>
      <c r="Y56" s="67">
        <f>IF($C56="","",W56*X56*'⚙️ SUPUESTOS'!$C$7)</f>
        <v>24965.01</v>
      </c>
      <c r="Z56" s="65">
        <f>IF($C56="","",W56*'⚙️ SUPUESTOS'!$C$10)</f>
        <v>28595.699999999997</v>
      </c>
      <c r="AA56" s="65">
        <f>IF($C56="","",Y56*('⚙️ SUPUESTOS'!$C$12*'⚙️ SUPUESTOS'!$C$11+(1-'⚙️ SUPUESTOS'!$C$12)*'⚙️ SUPUESTOS'!$C$13))</f>
        <v>1702.6136820000002</v>
      </c>
      <c r="AB56" s="65">
        <f>IF($C56="","",IF(Y56&gt;0,ROUND(Y56*'⚙️ SUPUESTOS'!$C$12*'⚙️ SUPUESTOS'!$C$11,0),""))</f>
        <v>624</v>
      </c>
      <c r="AC56" s="65">
        <f>IF($C56="","",IF(Y56&gt;0,ROUND(Y56*(1-'⚙️ SUPUESTOS'!$C$12)*'⚙️ SUPUESTOS'!$C$13,0),""))</f>
        <v>1078</v>
      </c>
      <c r="AD56" s="76">
        <f t="shared" si="2"/>
        <v>13970</v>
      </c>
      <c r="AE56" s="75">
        <f t="shared" si="3"/>
        <v>16.795178085500662</v>
      </c>
      <c r="AF56" s="70" t="str">
        <f>IF($C56="","",IF(AE56="","—",IF(AE56&lt;='⚙️ SUPUESTOS'!$C$32,"✔ Muy recomendable",IF(AE56&lt;='⚙️ SUPUESTOS'!$C$33,"✔ Recomendable","Valorar"))))</f>
        <v>Valorar</v>
      </c>
      <c r="AG56" s="79">
        <f>IF('📇 INVENTARIO'!O57="","",'📇 INVENTARIO'!O57)</f>
        <v>41.648760000000003</v>
      </c>
      <c r="AH56" s="79">
        <f>IF('📇 INVENTARIO'!P57="","",'📇 INVENTARIO'!P57)</f>
        <v>-4.70852</v>
      </c>
    </row>
    <row r="57" spans="1:34" ht="45" customHeight="1">
      <c r="A57" s="69">
        <f>IF($C57="","",RANK(O57,$O$3:$O$265,0)+COUNTIF($O$3:O57,O57)-1)</f>
        <v>55</v>
      </c>
      <c r="B57" s="70" t="str">
        <f>IF($C57="","",IF(A57&lt;='⚙️ SUPUESTOS'!$C$29,"Fase 1",IF(A57&lt;='⚙️ SUPUESTOS'!$C$30,"Fase 2","Fase 3")))</f>
        <v>Fase 1</v>
      </c>
      <c r="C57" s="71" t="str">
        <f>IF('📇 INVENTARIO'!B57="","",'📇 INVENTARIO'!B57)</f>
        <v>C/ Cigüeña, 45</v>
      </c>
      <c r="D57" s="70" t="str">
        <f>IF('📇 INVENTARIO'!C57="","",'📇 INVENTARIO'!C57)</f>
        <v>7824503UM5172D</v>
      </c>
      <c r="E57" s="70" t="str">
        <f>IF('📇 INVENTARIO'!D57="","",'📇 INVENTARIO'!D57)</f>
        <v>4718606026</v>
      </c>
      <c r="F57" s="70" t="str">
        <f>IF('📇 INVENTARIO'!F57="","",'📇 INVENTARIO'!F57)</f>
        <v>E</v>
      </c>
      <c r="G57" s="72">
        <f>IF('📇 INVENTARIO'!G57="","",'📇 INVENTARIO'!G57)</f>
        <v>256</v>
      </c>
      <c r="H57" s="72">
        <f>IF('📇 INVENTARIO'!H57="","",'📇 INVENTARIO'!H57)</f>
        <v>53.5</v>
      </c>
      <c r="I57" s="72">
        <f>IF('📇 INVENTARIO'!I57="","",'📇 INVENTARIO'!I57)</f>
        <v>123.2</v>
      </c>
      <c r="J57" s="72">
        <f>IF('📇 INVENTARIO'!J57="","",'📇 INVENTARIO'!J57)</f>
        <v>1965</v>
      </c>
      <c r="K57" s="73">
        <f>IF($C57="","",(G57-'⚙️ SUPUESTOS'!$C$20)/('⚙️ SUPUESTOS'!$C$25-'⚙️ SUPUESTOS'!$C$20))</f>
        <v>0.1944922547332186</v>
      </c>
      <c r="L57" s="73">
        <f>IF($C57="","",VLOOKUP($E57,'📊 SECCIONES'!$B$4:$S$9,16,FALSE()))</f>
        <v>1</v>
      </c>
      <c r="M57" s="73">
        <f>IF($C57="","",VLOOKUP($E57,'📊 SECCIONES'!$B$4:$S$9,17,FALSE()))</f>
        <v>1</v>
      </c>
      <c r="N57" s="73">
        <f>IF($C57="","",VLOOKUP($E57,'📊 SECCIONES'!$B$4:$S$9,18,FALSE()))</f>
        <v>0</v>
      </c>
      <c r="O57" s="74">
        <f>IF($C57="","",ROUND('⚙️ SUPUESTOS'!$C$21*K57+'⚙️ SUPUESTOS'!$C$22*L57+'⚙️ SUPUESTOS'!$C$23*M57+'⚙️ SUPUESTOS'!$C$24*N57,4))</f>
        <v>0.46700000000000003</v>
      </c>
      <c r="P57" s="75">
        <f>IF($C57="","",VLOOKUP($E57,'📊 SECCIONES'!$B$4:$S$9,7,FALSE()))</f>
        <v>66.510000000000005</v>
      </c>
      <c r="Q57" s="76">
        <f>IF($C57="","",VLOOKUP($E57,'📊 SECCIONES'!$B$4:$S$9,8,FALSE()))</f>
        <v>17450</v>
      </c>
      <c r="R57" s="75">
        <f>IF($C57="","",VLOOKUP($E57,'📊 SECCIONES'!$B$4:$S$9,10,FALSE()))</f>
        <v>10.6</v>
      </c>
      <c r="S57" s="72">
        <f>IF('📇 INVENTARIO'!K57="","",'📇 INVENTARIO'!K57)</f>
        <v>3</v>
      </c>
      <c r="T57" s="77" t="str">
        <f t="shared" si="0"/>
        <v>Objetivo: alcanzar calificación C. Actual: Cal.E. SATE fachada + carpinterías doble + instalación fotovoltaica</v>
      </c>
      <c r="U57" s="70" t="str">
        <f t="shared" si="1"/>
        <v>—</v>
      </c>
      <c r="V57" s="78">
        <f>IF('📇 INVENTARIO'!L57="","",'📇 INVENTARIO'!L57)</f>
        <v>98.1</v>
      </c>
      <c r="W57" s="75">
        <f>IF($C57="","",V57*'⚙️ SUPUESTOS'!$C$8*'⚙️ SUPUESTOS'!$C$9)</f>
        <v>20.600999999999999</v>
      </c>
      <c r="X57" s="78">
        <f>IF('📇 INVENTARIO'!N57="","",'📇 INVENTARIO'!N57)</f>
        <v>1549</v>
      </c>
      <c r="Y57" s="78">
        <f>IF($C57="","",W57*X57*'⚙️ SUPUESTOS'!$C$7)</f>
        <v>28719.854099999997</v>
      </c>
      <c r="Z57" s="76">
        <f>IF($C57="","",W57*'⚙️ SUPUESTOS'!$C$10)</f>
        <v>27502.334999999999</v>
      </c>
      <c r="AA57" s="76">
        <f>IF($C57="","",Y57*('⚙️ SUPUESTOS'!$C$12*'⚙️ SUPUESTOS'!$C$11+(1-'⚙️ SUPUESTOS'!$C$12)*'⚙️ SUPUESTOS'!$C$13))</f>
        <v>1958.69404962</v>
      </c>
      <c r="AB57" s="76">
        <f>IF($C57="","",IF(Y57&gt;0,ROUND(Y57*'⚙️ SUPUESTOS'!$C$12*'⚙️ SUPUESTOS'!$C$11,0),""))</f>
        <v>718</v>
      </c>
      <c r="AC57" s="76">
        <f>IF($C57="","",IF(Y57&gt;0,ROUND(Y57*(1-'⚙️ SUPUESTOS'!$C$12)*'⚙️ SUPUESTOS'!$C$13,0),""))</f>
        <v>1241</v>
      </c>
      <c r="AD57" s="65">
        <f t="shared" si="2"/>
        <v>21465</v>
      </c>
      <c r="AE57" s="64">
        <f t="shared" si="3"/>
        <v>14.04115921286208</v>
      </c>
      <c r="AF57" s="59" t="str">
        <f>IF($C57="","",IF(AE57="","—",IF(AE57&lt;='⚙️ SUPUESTOS'!$C$32,"✔ Muy recomendable",IF(AE57&lt;='⚙️ SUPUESTOS'!$C$33,"✔ Recomendable","Valorar"))))</f>
        <v>✔ Muy recomendable</v>
      </c>
      <c r="AG57" s="68">
        <f>IF('📇 INVENTARIO'!O58="","",'📇 INVENTARIO'!O58)</f>
        <v>41.650069999999999</v>
      </c>
      <c r="AH57" s="68">
        <f>IF('📇 INVENTARIO'!P58="","",'📇 INVENTARIO'!P58)</f>
        <v>-4.70838</v>
      </c>
    </row>
    <row r="58" spans="1:34" ht="45" customHeight="1">
      <c r="A58" s="69">
        <f>IF($C58="","",RANK(O58,$O$3:$O$265,0)+COUNTIF($O$3:O58,O58)-1)</f>
        <v>56</v>
      </c>
      <c r="B58" s="70" t="str">
        <f>IF($C58="","",IF(A58&lt;='⚙️ SUPUESTOS'!$C$29,"Fase 1",IF(A58&lt;='⚙️ SUPUESTOS'!$C$30,"Fase 2","Fase 3")))</f>
        <v>Fase 1</v>
      </c>
      <c r="C58" s="71" t="str">
        <f>IF('📇 INVENTARIO'!B59="","",'📇 INVENTARIO'!B59)</f>
        <v>C/ Villabáñez, 19</v>
      </c>
      <c r="D58" s="70" t="str">
        <f>IF('📇 INVENTARIO'!C59="","",'📇 INVENTARIO'!C59)</f>
        <v>7825417UM5172F</v>
      </c>
      <c r="E58" s="70" t="str">
        <f>IF('📇 INVENTARIO'!D59="","",'📇 INVENTARIO'!D59)</f>
        <v>4718606023</v>
      </c>
      <c r="F58" s="70" t="str">
        <f>IF('📇 INVENTARIO'!F59="","",'📇 INVENTARIO'!F59)</f>
        <v>G</v>
      </c>
      <c r="G58" s="72">
        <f>IF('📇 INVENTARIO'!G59="","",'📇 INVENTARIO'!G59)</f>
        <v>389</v>
      </c>
      <c r="H58" s="72">
        <f>IF('📇 INVENTARIO'!H59="","",'📇 INVENTARIO'!H59)</f>
        <v>82</v>
      </c>
      <c r="I58" s="72">
        <f>IF('📇 INVENTARIO'!I59="","",'📇 INVENTARIO'!I59)</f>
        <v>182.6</v>
      </c>
      <c r="J58" s="72">
        <f>IF('📇 INVENTARIO'!J59="","",'📇 INVENTARIO'!J59)</f>
        <v>1965</v>
      </c>
      <c r="K58" s="73">
        <f>IF($C58="","",(G58-'⚙️ SUPUESTOS'!$C$20)/('⚙️ SUPUESTOS'!$C$25-'⚙️ SUPUESTOS'!$C$20))</f>
        <v>0.423407917383821</v>
      </c>
      <c r="L58" s="73">
        <f>IF($C58="","",VLOOKUP($E58,'📊 SECCIONES'!$B$4:$S$9,16,FALSE()))</f>
        <v>0.54128061278831963</v>
      </c>
      <c r="M58" s="73">
        <f>IF($C58="","",VLOOKUP($E58,'📊 SECCIONES'!$B$4:$S$9,17,FALSE()))</f>
        <v>0.59585492227979275</v>
      </c>
      <c r="N58" s="73">
        <f>IF($C58="","",VLOOKUP($E58,'📊 SECCIONES'!$B$4:$S$9,18,FALSE()))</f>
        <v>0.28636363636363632</v>
      </c>
      <c r="O58" s="74">
        <f>IF($C58="","",ROUND('⚙️ SUPUESTOS'!$C$21*K58+'⚙️ SUPUESTOS'!$C$22*L58+'⚙️ SUPUESTOS'!$C$23*M58+'⚙️ SUPUESTOS'!$C$24*N58,4))</f>
        <v>0.46110000000000001</v>
      </c>
      <c r="P58" s="75">
        <f>IF($C58="","",VLOOKUP($E58,'📊 SECCIONES'!$B$4:$S$9,7,FALSE()))</f>
        <v>39.409999999999997</v>
      </c>
      <c r="Q58" s="76">
        <f>IF($C58="","",VLOOKUP($E58,'📊 SECCIONES'!$B$4:$S$9,8,FALSE()))</f>
        <v>22486</v>
      </c>
      <c r="R58" s="75">
        <f>IF($C58="","",VLOOKUP($E58,'📊 SECCIONES'!$B$4:$S$9,10,FALSE()))</f>
        <v>16.899999999999999</v>
      </c>
      <c r="S58" s="72">
        <f>IF('📇 INVENTARIO'!K59="","",'📇 INVENTARIO'!K59)</f>
        <v>3</v>
      </c>
      <c r="T58" s="77" t="str">
        <f t="shared" si="0"/>
        <v>Objetivo: alcanzar calificación C. Actual: Cal.G. SATE integral + cubierta + carpinterías triple + aerotermia + instalación fotovoltaica</v>
      </c>
      <c r="U58" s="70" t="str">
        <f t="shared" si="1"/>
        <v>—</v>
      </c>
      <c r="V58" s="78">
        <f>IF('📇 INVENTARIO'!L59="","",'📇 INVENTARIO'!L59)</f>
        <v>115.8</v>
      </c>
      <c r="W58" s="75">
        <f>IF($C58="","",V58*'⚙️ SUPUESTOS'!$C$8*'⚙️ SUPUESTOS'!$C$9)</f>
        <v>24.317999999999998</v>
      </c>
      <c r="X58" s="78">
        <f>IF('📇 INVENTARIO'!N59="","",'📇 INVENTARIO'!N59)</f>
        <v>1420</v>
      </c>
      <c r="Y58" s="78">
        <f>IF($C58="","",W58*X58*'⚙️ SUPUESTOS'!$C$7)</f>
        <v>31078.403999999999</v>
      </c>
      <c r="Z58" s="76">
        <f>IF($C58="","",W58*'⚙️ SUPUESTOS'!$C$10)</f>
        <v>32464.53</v>
      </c>
      <c r="AA58" s="76">
        <f>IF($C58="","",Y58*('⚙️ SUPUESTOS'!$C$12*'⚙️ SUPUESTOS'!$C$11+(1-'⚙️ SUPUESTOS'!$C$12)*'⚙️ SUPUESTOS'!$C$13))</f>
        <v>2119.5471528000003</v>
      </c>
      <c r="AB58" s="76">
        <f>IF($C58="","",IF(Y58&gt;0,ROUND(Y58*'⚙️ SUPUESTOS'!$C$12*'⚙️ SUPUESTOS'!$C$11,0),""))</f>
        <v>777</v>
      </c>
      <c r="AC58" s="76">
        <f>IF($C58="","",IF(Y58&gt;0,ROUND(Y58*(1-'⚙️ SUPUESTOS'!$C$12)*'⚙️ SUPUESTOS'!$C$13,0),""))</f>
        <v>1343</v>
      </c>
      <c r="AD58" s="76">
        <f t="shared" si="2"/>
        <v>20524</v>
      </c>
      <c r="AE58" s="75">
        <f t="shared" si="3"/>
        <v>15.316729310368563</v>
      </c>
      <c r="AF58" s="70" t="str">
        <f>IF($C58="","",IF(AE58="","—",IF(AE58&lt;='⚙️ SUPUESTOS'!$C$32,"✔ Muy recomendable",IF(AE58&lt;='⚙️ SUPUESTOS'!$C$33,"✔ Recomendable","Valorar"))))</f>
        <v>✔ Recomendable</v>
      </c>
      <c r="AG58" s="79">
        <f>IF('📇 INVENTARIO'!O59="","",'📇 INVENTARIO'!O59)</f>
        <v>41.649250000000002</v>
      </c>
      <c r="AH58" s="79">
        <f>IF('📇 INVENTARIO'!P59="","",'📇 INVENTARIO'!P59)</f>
        <v>-4.7088599999999996</v>
      </c>
    </row>
    <row r="59" spans="1:34" ht="45" customHeight="1">
      <c r="A59" s="58">
        <f>IF($C59="","",RANK(O59,$O$3:$O$265,0)+COUNTIF($O$3:O59,O59)-1)</f>
        <v>57</v>
      </c>
      <c r="B59" s="59" t="str">
        <f>IF($C59="","",IF(A59&lt;='⚙️ SUPUESTOS'!$C$29,"Fase 1",IF(A59&lt;='⚙️ SUPUESTOS'!$C$30,"Fase 2","Fase 3")))</f>
        <v>Fase 1</v>
      </c>
      <c r="C59" s="60" t="str">
        <f>IF('📇 INVENTARIO'!B60="","",'📇 INVENTARIO'!B60)</f>
        <v>C/ Oropéndola, 2</v>
      </c>
      <c r="D59" s="59" t="str">
        <f>IF('📇 INVENTARIO'!C60="","",'📇 INVENTARIO'!C60)</f>
        <v>7825408UM5172F</v>
      </c>
      <c r="E59" s="59" t="str">
        <f>IF('📇 INVENTARIO'!D60="","",'📇 INVENTARIO'!D60)</f>
        <v>4718606023</v>
      </c>
      <c r="F59" s="59" t="str">
        <f>IF('📇 INVENTARIO'!F60="","",'📇 INVENTARIO'!F60)</f>
        <v>G</v>
      </c>
      <c r="G59" s="61">
        <f>IF('📇 INVENTARIO'!G60="","",'📇 INVENTARIO'!G60)</f>
        <v>387</v>
      </c>
      <c r="H59" s="61">
        <f>IF('📇 INVENTARIO'!H60="","",'📇 INVENTARIO'!H60)</f>
        <v>73</v>
      </c>
      <c r="I59" s="61">
        <f>IF('📇 INVENTARIO'!I60="","",'📇 INVENTARIO'!I60)</f>
        <v>149.1</v>
      </c>
      <c r="J59" s="61">
        <f>IF('📇 INVENTARIO'!J60="","",'📇 INVENTARIO'!J60)</f>
        <v>1965</v>
      </c>
      <c r="K59" s="62">
        <f>IF($C59="","",(G59-'⚙️ SUPUESTOS'!$C$20)/('⚙️ SUPUESTOS'!$C$25-'⚙️ SUPUESTOS'!$C$20))</f>
        <v>0.41996557659208261</v>
      </c>
      <c r="L59" s="62">
        <f>IF($C59="","",VLOOKUP($E59,'📊 SECCIONES'!$B$4:$S$9,16,FALSE()))</f>
        <v>0.54128061278831963</v>
      </c>
      <c r="M59" s="62">
        <f>IF($C59="","",VLOOKUP($E59,'📊 SECCIONES'!$B$4:$S$9,17,FALSE()))</f>
        <v>0.59585492227979275</v>
      </c>
      <c r="N59" s="62">
        <f>IF($C59="","",VLOOKUP($E59,'📊 SECCIONES'!$B$4:$S$9,18,FALSE()))</f>
        <v>0.28636363636363632</v>
      </c>
      <c r="O59" s="63">
        <f>IF($C59="","",ROUND('⚙️ SUPUESTOS'!$C$21*K59+'⚙️ SUPUESTOS'!$C$22*L59+'⚙️ SUPUESTOS'!$C$23*M59+'⚙️ SUPUESTOS'!$C$24*N59,4))</f>
        <v>0.45929999999999999</v>
      </c>
      <c r="P59" s="64">
        <f>IF($C59="","",VLOOKUP($E59,'📊 SECCIONES'!$B$4:$S$9,7,FALSE()))</f>
        <v>39.409999999999997</v>
      </c>
      <c r="Q59" s="65">
        <f>IF($C59="","",VLOOKUP($E59,'📊 SECCIONES'!$B$4:$S$9,8,FALSE()))</f>
        <v>22486</v>
      </c>
      <c r="R59" s="64">
        <f>IF($C59="","",VLOOKUP($E59,'📊 SECCIONES'!$B$4:$S$9,10,FALSE()))</f>
        <v>16.899999999999999</v>
      </c>
      <c r="S59" s="61">
        <f>IF('📇 INVENTARIO'!K60="","",'📇 INVENTARIO'!K60)</f>
        <v>3</v>
      </c>
      <c r="T59" s="66" t="str">
        <f t="shared" si="0"/>
        <v>Objetivo: alcanzar calificación C. Actual: Cal.G. SATE integral + cubierta + carpinterías triple + aerotermia + instalación fotovoltaica</v>
      </c>
      <c r="U59" s="59" t="str">
        <f t="shared" si="1"/>
        <v>—</v>
      </c>
      <c r="V59" s="67">
        <f>IF('📇 INVENTARIO'!L60="","",'📇 INVENTARIO'!L60)</f>
        <v>99.8</v>
      </c>
      <c r="W59" s="64">
        <f>IF($C59="","",V59*'⚙️ SUPUESTOS'!$C$8*'⚙️ SUPUESTOS'!$C$9)</f>
        <v>20.957999999999998</v>
      </c>
      <c r="X59" s="67">
        <f>IF('📇 INVENTARIO'!N60="","",'📇 INVENTARIO'!N60)</f>
        <v>1260</v>
      </c>
      <c r="Y59" s="67">
        <f>IF($C59="","",W59*X59*'⚙️ SUPUESTOS'!$C$7)</f>
        <v>23766.371999999999</v>
      </c>
      <c r="Z59" s="65">
        <f>IF($C59="","",W59*'⚙️ SUPUESTOS'!$C$10)</f>
        <v>27978.929999999997</v>
      </c>
      <c r="AA59" s="65">
        <f>IF($C59="","",Y59*('⚙️ SUPUESTOS'!$C$12*'⚙️ SUPUESTOS'!$C$11+(1-'⚙️ SUPUESTOS'!$C$12)*'⚙️ SUPUESTOS'!$C$13))</f>
        <v>1620.8665704000002</v>
      </c>
      <c r="AB59" s="65">
        <f>IF($C59="","",IF(Y59&gt;0,ROUND(Y59*'⚙️ SUPUESTOS'!$C$12*'⚙️ SUPUESTOS'!$C$11,0),""))</f>
        <v>594</v>
      </c>
      <c r="AC59" s="65">
        <f>IF($C59="","",IF(Y59&gt;0,ROUND(Y59*(1-'⚙️ SUPUESTOS'!$C$12)*'⚙️ SUPUESTOS'!$C$13,0),""))</f>
        <v>1027</v>
      </c>
      <c r="AD59" s="65">
        <f t="shared" si="2"/>
        <v>12543</v>
      </c>
      <c r="AE59" s="64">
        <f t="shared" si="3"/>
        <v>17.261710810097902</v>
      </c>
      <c r="AF59" s="59" t="str">
        <f>IF($C59="","",IF(AE59="","—",IF(AE59&lt;='⚙️ SUPUESTOS'!$C$32,"✔ Muy recomendable",IF(AE59&lt;='⚙️ SUPUESTOS'!$C$33,"✔ Recomendable","Valorar"))))</f>
        <v>Valorar</v>
      </c>
      <c r="AG59" s="68">
        <f>IF('📇 INVENTARIO'!O60="","",'📇 INVENTARIO'!O60)</f>
        <v>41.649479999999997</v>
      </c>
      <c r="AH59" s="68">
        <f>IF('📇 INVENTARIO'!P60="","",'📇 INVENTARIO'!P60)</f>
        <v>-4.7085600000000003</v>
      </c>
    </row>
    <row r="60" spans="1:34" ht="45" customHeight="1">
      <c r="A60" s="69">
        <f>IF($C60="","",RANK(O60,$O$3:$O$265,0)+COUNTIF($O$3:O60,O60)-1)</f>
        <v>58</v>
      </c>
      <c r="B60" s="70" t="str">
        <f>IF($C60="","",IF(A60&lt;='⚙️ SUPUESTOS'!$C$29,"Fase 1",IF(A60&lt;='⚙️ SUPUESTOS'!$C$30,"Fase 2","Fase 3")))</f>
        <v>Fase 1</v>
      </c>
      <c r="C60" s="71" t="str">
        <f>IF('📇 INVENTARIO'!B63="","",'📇 INVENTARIO'!B63)</f>
        <v>C/ Colibrí, 1</v>
      </c>
      <c r="D60" s="70" t="str">
        <f>IF('📇 INVENTARIO'!C63="","",'📇 INVENTARIO'!C63)</f>
        <v>7924211UM5172D</v>
      </c>
      <c r="E60" s="70" t="str">
        <f>IF('📇 INVENTARIO'!D63="","",'📇 INVENTARIO'!D63)</f>
        <v>4718606024</v>
      </c>
      <c r="F60" s="70" t="str">
        <f>IF('📇 INVENTARIO'!F63="","",'📇 INVENTARIO'!F63)</f>
        <v>G</v>
      </c>
      <c r="G60" s="72">
        <f>IF('📇 INVENTARIO'!G63="","",'📇 INVENTARIO'!G63)</f>
        <v>494</v>
      </c>
      <c r="H60" s="72">
        <f>IF('📇 INVENTARIO'!H63="","",'📇 INVENTARIO'!H63)</f>
        <v>104</v>
      </c>
      <c r="I60" s="72">
        <f>IF('📇 INVENTARIO'!I63="","",'📇 INVENTARIO'!I63)</f>
        <v>239.9</v>
      </c>
      <c r="J60" s="72">
        <f>IF('📇 INVENTARIO'!J63="","",'📇 INVENTARIO'!J63)</f>
        <v>1965</v>
      </c>
      <c r="K60" s="73">
        <f>IF($C60="","",(G60-'⚙️ SUPUESTOS'!$C$20)/('⚙️ SUPUESTOS'!$C$25-'⚙️ SUPUESTOS'!$C$20))</f>
        <v>0.60413080895008608</v>
      </c>
      <c r="L60" s="73">
        <f>IF($C60="","",VLOOKUP($E60,'📊 SECCIONES'!$B$4:$S$9,16,FALSE()))</f>
        <v>0.13391192517993736</v>
      </c>
      <c r="M60" s="73">
        <f>IF($C60="","",VLOOKUP($E60,'📊 SECCIONES'!$B$4:$S$9,17,FALSE()))</f>
        <v>0.16476683937823833</v>
      </c>
      <c r="N60" s="73">
        <f>IF($C60="","",VLOOKUP($E60,'📊 SECCIONES'!$B$4:$S$9,18,FALSE()))</f>
        <v>0.79545454545454541</v>
      </c>
      <c r="O60" s="74">
        <f>IF($C60="","",ROUND('⚙️ SUPUESTOS'!$C$21*K60+'⚙️ SUPUESTOS'!$C$22*L60+'⚙️ SUPUESTOS'!$C$23*M60+'⚙️ SUPUESTOS'!$C$24*N60,4))</f>
        <v>0.45639999999999997</v>
      </c>
      <c r="P60" s="75">
        <f>IF($C60="","",VLOOKUP($E60,'📊 SECCIONES'!$B$4:$S$9,7,FALSE()))</f>
        <v>30.06</v>
      </c>
      <c r="Q60" s="76">
        <f>IF($C60="","",VLOOKUP($E60,'📊 SECCIONES'!$B$4:$S$9,8,FALSE()))</f>
        <v>25132</v>
      </c>
      <c r="R60" s="75">
        <f>IF($C60="","",VLOOKUP($E60,'📊 SECCIONES'!$B$4:$S$9,10,FALSE()))</f>
        <v>28.1</v>
      </c>
      <c r="S60" s="72">
        <f>IF('📇 INVENTARIO'!K63="","",'📇 INVENTARIO'!K63)</f>
        <v>3</v>
      </c>
      <c r="T60" s="77" t="str">
        <f t="shared" si="0"/>
        <v>Objetivo: alcanzar calificación C. Actual: Cal.G. SATE integral + cubierta + carpinterías triple + aerotermia + instalación fotovoltaica</v>
      </c>
      <c r="U60" s="70" t="str">
        <f t="shared" si="1"/>
        <v>—</v>
      </c>
      <c r="V60" s="78">
        <f>IF('📇 INVENTARIO'!L63="","",'📇 INVENTARIO'!L63)</f>
        <v>97.8</v>
      </c>
      <c r="W60" s="75">
        <f>IF($C60="","",V60*'⚙️ SUPUESTOS'!$C$8*'⚙️ SUPUESTOS'!$C$9)</f>
        <v>20.538</v>
      </c>
      <c r="X60" s="78">
        <f>IF('📇 INVENTARIO'!N63="","",'📇 INVENTARIO'!N63)</f>
        <v>1415</v>
      </c>
      <c r="Y60" s="78">
        <f>IF($C60="","",W60*X60*'⚙️ SUPUESTOS'!$C$7)</f>
        <v>26155.143</v>
      </c>
      <c r="Z60" s="76">
        <f>IF($C60="","",W60*'⚙️ SUPUESTOS'!$C$10)</f>
        <v>27418.23</v>
      </c>
      <c r="AA60" s="76">
        <f>IF($C60="","",Y60*('⚙️ SUPUESTOS'!$C$12*'⚙️ SUPUESTOS'!$C$11+(1-'⚙️ SUPUESTOS'!$C$12)*'⚙️ SUPUESTOS'!$C$13))</f>
        <v>1783.7807526000004</v>
      </c>
      <c r="AB60" s="76">
        <f>IF($C60="","",IF(Y60&gt;0,ROUND(Y60*'⚙️ SUPUESTOS'!$C$12*'⚙️ SUPUESTOS'!$C$11,0),""))</f>
        <v>654</v>
      </c>
      <c r="AC60" s="76">
        <f>IF($C60="","",IF(Y60&gt;0,ROUND(Y60*(1-'⚙️ SUPUESTOS'!$C$12)*'⚙️ SUPUESTOS'!$C$13,0),""))</f>
        <v>1130</v>
      </c>
      <c r="AD60" s="76">
        <f t="shared" si="2"/>
        <v>17176</v>
      </c>
      <c r="AE60" s="75">
        <f t="shared" si="3"/>
        <v>15.370852028779758</v>
      </c>
      <c r="AF60" s="70" t="str">
        <f>IF($C60="","",IF(AE60="","—",IF(AE60&lt;='⚙️ SUPUESTOS'!$C$32,"✔ Muy recomendable",IF(AE60&lt;='⚙️ SUPUESTOS'!$C$33,"✔ Recomendable","Valorar"))))</f>
        <v>✔ Recomendable</v>
      </c>
      <c r="AG60" s="79">
        <f>IF('📇 INVENTARIO'!O61="","",'📇 INVENTARIO'!O61)</f>
        <v>41.648339999999997</v>
      </c>
      <c r="AH60" s="79">
        <f>IF('📇 INVENTARIO'!P61="","",'📇 INVENTARIO'!P61)</f>
        <v>-4.7091099999999999</v>
      </c>
    </row>
    <row r="61" spans="1:34" ht="45" customHeight="1">
      <c r="A61" s="69">
        <f>IF($C61="","",RANK(O61,$O$3:$O$265,0)+COUNTIF($O$3:O61,O61)-1)</f>
        <v>59</v>
      </c>
      <c r="B61" s="70" t="str">
        <f>IF($C61="","",IF(A61&lt;='⚙️ SUPUESTOS'!$C$29,"Fase 1",IF(A61&lt;='⚙️ SUPUESTOS'!$C$30,"Fase 2","Fase 3")))</f>
        <v>Fase 1</v>
      </c>
      <c r="C61" s="71" t="str">
        <f>IF('📇 INVENTARIO'!B61="","",'📇 INVENTARIO'!B61)</f>
        <v>C/ Gaviota, 4</v>
      </c>
      <c r="D61" s="70" t="str">
        <f>IF('📇 INVENTARIO'!C61="","",'📇 INVENTARIO'!C61)</f>
        <v>7824511UM5172D</v>
      </c>
      <c r="E61" s="70" t="str">
        <f>IF('📇 INVENTARIO'!D61="","",'📇 INVENTARIO'!D61)</f>
        <v>4718606026</v>
      </c>
      <c r="F61" s="70" t="str">
        <f>IF('📇 INVENTARIO'!F61="","",'📇 INVENTARIO'!F61)</f>
        <v>E</v>
      </c>
      <c r="G61" s="72">
        <f>IF('📇 INVENTARIO'!G61="","",'📇 INVENTARIO'!G61)</f>
        <v>239</v>
      </c>
      <c r="H61" s="72">
        <f>IF('📇 INVENTARIO'!H61="","",'📇 INVENTARIO'!H61)</f>
        <v>50</v>
      </c>
      <c r="I61" s="72">
        <f>IF('📇 INVENTARIO'!I61="","",'📇 INVENTARIO'!I61)</f>
        <v>86.8</v>
      </c>
      <c r="J61" s="72">
        <f>IF('📇 INVENTARIO'!J61="","",'📇 INVENTARIO'!J61)</f>
        <v>1965</v>
      </c>
      <c r="K61" s="73">
        <f>IF($C61="","",(G61-'⚙️ SUPUESTOS'!$C$20)/('⚙️ SUPUESTOS'!$C$25-'⚙️ SUPUESTOS'!$C$20))</f>
        <v>0.16523235800344235</v>
      </c>
      <c r="L61" s="73">
        <f>IF($C61="","",VLOOKUP($E61,'📊 SECCIONES'!$B$4:$S$9,16,FALSE()))</f>
        <v>1</v>
      </c>
      <c r="M61" s="73">
        <f>IF($C61="","",VLOOKUP($E61,'📊 SECCIONES'!$B$4:$S$9,17,FALSE()))</f>
        <v>1</v>
      </c>
      <c r="N61" s="73">
        <f>IF($C61="","",VLOOKUP($E61,'📊 SECCIONES'!$B$4:$S$9,18,FALSE()))</f>
        <v>0</v>
      </c>
      <c r="O61" s="74">
        <f>IF($C61="","",ROUND('⚙️ SUPUESTOS'!$C$21*K61+'⚙️ SUPUESTOS'!$C$22*L61+'⚙️ SUPUESTOS'!$C$23*M61+'⚙️ SUPUESTOS'!$C$24*N61,4))</f>
        <v>0.45090000000000002</v>
      </c>
      <c r="P61" s="75">
        <f>IF($C61="","",VLOOKUP($E61,'📊 SECCIONES'!$B$4:$S$9,7,FALSE()))</f>
        <v>66.510000000000005</v>
      </c>
      <c r="Q61" s="76">
        <f>IF($C61="","",VLOOKUP($E61,'📊 SECCIONES'!$B$4:$S$9,8,FALSE()))</f>
        <v>17450</v>
      </c>
      <c r="R61" s="75">
        <f>IF($C61="","",VLOOKUP($E61,'📊 SECCIONES'!$B$4:$S$9,10,FALSE()))</f>
        <v>10.6</v>
      </c>
      <c r="S61" s="72">
        <f>IF('📇 INVENTARIO'!K61="","",'📇 INVENTARIO'!K61)</f>
        <v>3</v>
      </c>
      <c r="T61" s="77" t="str">
        <f t="shared" si="0"/>
        <v>Objetivo: alcanzar calificación C. Actual: Cal.E. SATE fachada + carpinterías doble + instalación fotovoltaica</v>
      </c>
      <c r="U61" s="70" t="str">
        <f t="shared" si="1"/>
        <v>—</v>
      </c>
      <c r="V61" s="78">
        <f>IF('📇 INVENTARIO'!L61="","",'📇 INVENTARIO'!L61)</f>
        <v>98.5</v>
      </c>
      <c r="W61" s="75">
        <f>IF($C61="","",V61*'⚙️ SUPUESTOS'!$C$8*'⚙️ SUPUESTOS'!$C$9)</f>
        <v>20.684999999999999</v>
      </c>
      <c r="X61" s="78">
        <f>IF('📇 INVENTARIO'!N61="","",'📇 INVENTARIO'!N61)</f>
        <v>1449</v>
      </c>
      <c r="Y61" s="78">
        <f>IF($C61="","",W61*X61*'⚙️ SUPUESTOS'!$C$7)</f>
        <v>26975.308499999999</v>
      </c>
      <c r="Z61" s="76">
        <f>IF($C61="","",W61*'⚙️ SUPUESTOS'!$C$10)</f>
        <v>27614.474999999999</v>
      </c>
      <c r="AA61" s="76">
        <f>IF($C61="","",Y61*('⚙️ SUPUESTOS'!$C$12*'⚙️ SUPUESTOS'!$C$11+(1-'⚙️ SUPUESTOS'!$C$12)*'⚙️ SUPUESTOS'!$C$13))</f>
        <v>1839.7160397000002</v>
      </c>
      <c r="AB61" s="76">
        <f>IF($C61="","",IF(Y61&gt;0,ROUND(Y61*'⚙️ SUPUESTOS'!$C$12*'⚙️ SUPUESTOS'!$C$11,0),""))</f>
        <v>674</v>
      </c>
      <c r="AC61" s="76">
        <f>IF($C61="","",IF(Y61&gt;0,ROUND(Y61*(1-'⚙️ SUPUESTOS'!$C$12)*'⚙️ SUPUESTOS'!$C$13,0),""))</f>
        <v>1165</v>
      </c>
      <c r="AD61" s="65">
        <f t="shared" si="2"/>
        <v>18378</v>
      </c>
      <c r="AE61" s="64">
        <f t="shared" si="3"/>
        <v>15.010183313128612</v>
      </c>
      <c r="AF61" s="59" t="str">
        <f>IF($C61="","",IF(AE61="","—",IF(AE61&lt;='⚙️ SUPUESTOS'!$C$32,"✔ Muy recomendable",IF(AE61&lt;='⚙️ SUPUESTOS'!$C$33,"✔ Recomendable","Valorar"))))</f>
        <v>✔ Recomendable</v>
      </c>
      <c r="AG61" s="68">
        <f>IF('📇 INVENTARIO'!O62="","",'📇 INVENTARIO'!O62)</f>
        <v>41.649369999999998</v>
      </c>
      <c r="AH61" s="68">
        <f>IF('📇 INVENTARIO'!P62="","",'📇 INVENTARIO'!P62)</f>
        <v>-4.7111799999999997</v>
      </c>
    </row>
    <row r="62" spans="1:34" ht="45" customHeight="1">
      <c r="A62" s="58">
        <f>IF($C62="","",RANK(O62,$O$3:$O$265,0)+COUNTIF($O$3:O62,O62)-1)</f>
        <v>60</v>
      </c>
      <c r="B62" s="59" t="str">
        <f>IF($C62="","",IF(A62&lt;='⚙️ SUPUESTOS'!$C$29,"Fase 1",IF(A62&lt;='⚙️ SUPUESTOS'!$C$30,"Fase 2","Fase 3")))</f>
        <v>Fase 1</v>
      </c>
      <c r="C62" s="60" t="str">
        <f>IF('📇 INVENTARIO'!B62="","",'📇 INVENTARIO'!B62)</f>
        <v>C/ Salud, 16</v>
      </c>
      <c r="D62" s="59" t="str">
        <f>IF('📇 INVENTARIO'!C62="","",'📇 INVENTARIO'!C62)</f>
        <v>7625401UM5172F</v>
      </c>
      <c r="E62" s="59" t="str">
        <f>IF('📇 INVENTARIO'!D62="","",'📇 INVENTARIO'!D62)</f>
        <v>4718606026</v>
      </c>
      <c r="F62" s="59" t="str">
        <f>IF('📇 INVENTARIO'!F62="","",'📇 INVENTARIO'!F62)</f>
        <v>E</v>
      </c>
      <c r="G62" s="61">
        <f>IF('📇 INVENTARIO'!G62="","",'📇 INVENTARIO'!G62)</f>
        <v>232</v>
      </c>
      <c r="H62" s="61">
        <f>IF('📇 INVENTARIO'!H62="","",'📇 INVENTARIO'!H62)</f>
        <v>49</v>
      </c>
      <c r="I62" s="61">
        <f>IF('📇 INVENTARIO'!I62="","",'📇 INVENTARIO'!I62)</f>
        <v>134.4</v>
      </c>
      <c r="J62" s="61">
        <f>IF('📇 INVENTARIO'!J62="","",'📇 INVENTARIO'!J62)</f>
        <v>1958</v>
      </c>
      <c r="K62" s="62">
        <f>IF($C62="","",(G62-'⚙️ SUPUESTOS'!$C$20)/('⚙️ SUPUESTOS'!$C$25-'⚙️ SUPUESTOS'!$C$20))</f>
        <v>0.153184165232358</v>
      </c>
      <c r="L62" s="62">
        <f>IF($C62="","",VLOOKUP($E62,'📊 SECCIONES'!$B$4:$S$9,16,FALSE()))</f>
        <v>1</v>
      </c>
      <c r="M62" s="62">
        <f>IF($C62="","",VLOOKUP($E62,'📊 SECCIONES'!$B$4:$S$9,17,FALSE()))</f>
        <v>1</v>
      </c>
      <c r="N62" s="62">
        <f>IF($C62="","",VLOOKUP($E62,'📊 SECCIONES'!$B$4:$S$9,18,FALSE()))</f>
        <v>0</v>
      </c>
      <c r="O62" s="63">
        <f>IF($C62="","",ROUND('⚙️ SUPUESTOS'!$C$21*K62+'⚙️ SUPUESTOS'!$C$22*L62+'⚙️ SUPUESTOS'!$C$23*M62+'⚙️ SUPUESTOS'!$C$24*N62,4))</f>
        <v>0.44429999999999997</v>
      </c>
      <c r="P62" s="64">
        <f>IF($C62="","",VLOOKUP($E62,'📊 SECCIONES'!$B$4:$S$9,7,FALSE()))</f>
        <v>66.510000000000005</v>
      </c>
      <c r="Q62" s="65">
        <f>IF($C62="","",VLOOKUP($E62,'📊 SECCIONES'!$B$4:$S$9,8,FALSE()))</f>
        <v>17450</v>
      </c>
      <c r="R62" s="64">
        <f>IF($C62="","",VLOOKUP($E62,'📊 SECCIONES'!$B$4:$S$9,10,FALSE()))</f>
        <v>10.6</v>
      </c>
      <c r="S62" s="61">
        <f>IF('📇 INVENTARIO'!K62="","",'📇 INVENTARIO'!K62)</f>
        <v>5</v>
      </c>
      <c r="T62" s="66" t="str">
        <f t="shared" si="0"/>
        <v>Objetivo: alcanzar calificación C. Actual: Cal.E. SATE fachada + carpinterías doble + instalación fotovoltaica</v>
      </c>
      <c r="U62" s="59" t="str">
        <f t="shared" si="1"/>
        <v>Valorar ascensor (verificar)</v>
      </c>
      <c r="V62" s="67">
        <f>IF('📇 INVENTARIO'!L62="","",'📇 INVENTARIO'!L62)</f>
        <v>330.5</v>
      </c>
      <c r="W62" s="64">
        <f>IF($C62="","",V62*'⚙️ SUPUESTOS'!$C$8*'⚙️ SUPUESTOS'!$C$9)</f>
        <v>69.405000000000001</v>
      </c>
      <c r="X62" s="67">
        <f>IF('📇 INVENTARIO'!N62="","",'📇 INVENTARIO'!N62)</f>
        <v>1373</v>
      </c>
      <c r="Y62" s="67">
        <f>IF($C62="","",W62*X62*'⚙️ SUPUESTOS'!$C$7)</f>
        <v>85763.758500000011</v>
      </c>
      <c r="Z62" s="65">
        <f>IF($C62="","",W62*'⚙️ SUPUESTOS'!$C$10)</f>
        <v>92655.675000000003</v>
      </c>
      <c r="AA62" s="65">
        <f>IF($C62="","",Y62*('⚙️ SUPUESTOS'!$C$12*'⚙️ SUPUESTOS'!$C$11+(1-'⚙️ SUPUESTOS'!$C$12)*'⚙️ SUPUESTOS'!$C$13))</f>
        <v>5849.0883297000019</v>
      </c>
      <c r="AB62" s="65">
        <f>IF($C62="","",IF(Y62&gt;0,ROUND(Y62*'⚙️ SUPUESTOS'!$C$12*'⚙️ SUPUESTOS'!$C$11,0),""))</f>
        <v>2144</v>
      </c>
      <c r="AC62" s="65">
        <f>IF($C62="","",IF(Y62&gt;0,ROUND(Y62*(1-'⚙️ SUPUESTOS'!$C$12)*'⚙️ SUPUESTOS'!$C$13,0),""))</f>
        <v>3705</v>
      </c>
      <c r="AD62" s="76">
        <f t="shared" si="2"/>
        <v>53572</v>
      </c>
      <c r="AE62" s="75">
        <f t="shared" si="3"/>
        <v>15.841045608684164</v>
      </c>
      <c r="AF62" s="70" t="str">
        <f>IF($C62="","",IF(AE62="","—",IF(AE62&lt;='⚙️ SUPUESTOS'!$C$32,"✔ Muy recomendable",IF(AE62&lt;='⚙️ SUPUESTOS'!$C$33,"✔ Recomendable","Valorar"))))</f>
        <v>✔ Recomendable</v>
      </c>
      <c r="AG62" s="79">
        <f>IF('📇 INVENTARIO'!O63="","",'📇 INVENTARIO'!O63)</f>
        <v>41.649140000000003</v>
      </c>
      <c r="AH62" s="79">
        <f>IF('📇 INVENTARIO'!P63="","",'📇 INVENTARIO'!P63)</f>
        <v>-4.7075199999999997</v>
      </c>
    </row>
    <row r="63" spans="1:34" ht="45" customHeight="1">
      <c r="A63" s="58">
        <f>IF($C63="","",RANK(O63,$O$3:$O$265,0)+COUNTIF($O$3:O63,O63)-1)</f>
        <v>61</v>
      </c>
      <c r="B63" s="59" t="str">
        <f>IF($C63="","",IF(A63&lt;='⚙️ SUPUESTOS'!$C$29,"Fase 1",IF(A63&lt;='⚙️ SUPUESTOS'!$C$30,"Fase 2","Fase 3")))</f>
        <v>Fase 1</v>
      </c>
      <c r="C63" s="60" t="str">
        <f>IF('📇 INVENTARIO'!B64="","",'📇 INVENTARIO'!B64)</f>
        <v>C/ Villabáñez, 5</v>
      </c>
      <c r="D63" s="59" t="str">
        <f>IF('📇 INVENTARIO'!C64="","",'📇 INVENTARIO'!C64)</f>
        <v>7825709UM5172F</v>
      </c>
      <c r="E63" s="59" t="str">
        <f>IF('📇 INVENTARIO'!D64="","",'📇 INVENTARIO'!D64)</f>
        <v>4718606023</v>
      </c>
      <c r="F63" s="59" t="str">
        <f>IF('📇 INVENTARIO'!F64="","",'📇 INVENTARIO'!F64)</f>
        <v>F</v>
      </c>
      <c r="G63" s="61">
        <f>IF('📇 INVENTARIO'!G64="","",'📇 INVENTARIO'!G64)</f>
        <v>369</v>
      </c>
      <c r="H63" s="61">
        <f>IF('📇 INVENTARIO'!H64="","",'📇 INVENTARIO'!H64)</f>
        <v>75</v>
      </c>
      <c r="I63" s="61">
        <f>IF('📇 INVENTARIO'!I64="","",'📇 INVENTARIO'!I64)</f>
        <v>234.8</v>
      </c>
      <c r="J63" s="61">
        <f>IF('📇 INVENTARIO'!J64="","",'📇 INVENTARIO'!J64)</f>
        <v>1962</v>
      </c>
      <c r="K63" s="62">
        <f>IF($C63="","",(G63-'⚙️ SUPUESTOS'!$C$20)/('⚙️ SUPUESTOS'!$C$25-'⚙️ SUPUESTOS'!$C$20))</f>
        <v>0.3889845094664372</v>
      </c>
      <c r="L63" s="62">
        <f>IF($C63="","",VLOOKUP($E63,'📊 SECCIONES'!$B$4:$S$9,16,FALSE()))</f>
        <v>0.54128061278831963</v>
      </c>
      <c r="M63" s="62">
        <f>IF($C63="","",VLOOKUP($E63,'📊 SECCIONES'!$B$4:$S$9,17,FALSE()))</f>
        <v>0.59585492227979275</v>
      </c>
      <c r="N63" s="62">
        <f>IF($C63="","",VLOOKUP($E63,'📊 SECCIONES'!$B$4:$S$9,18,FALSE()))</f>
        <v>0.28636363636363632</v>
      </c>
      <c r="O63" s="63">
        <f>IF($C63="","",ROUND('⚙️ SUPUESTOS'!$C$21*K63+'⚙️ SUPUESTOS'!$C$22*L63+'⚙️ SUPUESTOS'!$C$23*M63+'⚙️ SUPUESTOS'!$C$24*N63,4))</f>
        <v>0.44219999999999998</v>
      </c>
      <c r="P63" s="64">
        <f>IF($C63="","",VLOOKUP($E63,'📊 SECCIONES'!$B$4:$S$9,7,FALSE()))</f>
        <v>39.409999999999997</v>
      </c>
      <c r="Q63" s="65">
        <f>IF($C63="","",VLOOKUP($E63,'📊 SECCIONES'!$B$4:$S$9,8,FALSE()))</f>
        <v>22486</v>
      </c>
      <c r="R63" s="64">
        <f>IF($C63="","",VLOOKUP($E63,'📊 SECCIONES'!$B$4:$S$9,10,FALSE()))</f>
        <v>16.899999999999999</v>
      </c>
      <c r="S63" s="61">
        <f>IF('📇 INVENTARIO'!K64="","",'📇 INVENTARIO'!K64)</f>
        <v>3</v>
      </c>
      <c r="T63" s="66" t="str">
        <f t="shared" si="0"/>
        <v>Objetivo: alcanzar calificación C. Actual: Cal.F. SATE integral + cubierta + carpinterías triple + aerotermia + instalación fotovoltaica</v>
      </c>
      <c r="U63" s="59" t="str">
        <f t="shared" si="1"/>
        <v>—</v>
      </c>
      <c r="V63" s="67">
        <f>IF('📇 INVENTARIO'!L64="","",'📇 INVENTARIO'!L64)</f>
        <v>90.4</v>
      </c>
      <c r="W63" s="64">
        <f>IF($C63="","",V63*'⚙️ SUPUESTOS'!$C$8*'⚙️ SUPUESTOS'!$C$9)</f>
        <v>18.984000000000002</v>
      </c>
      <c r="X63" s="67">
        <f>IF('📇 INVENTARIO'!N64="","",'📇 INVENTARIO'!N64)</f>
        <v>1120</v>
      </c>
      <c r="Y63" s="67">
        <f>IF($C63="","",W63*X63*'⚙️ SUPUESTOS'!$C$7)</f>
        <v>19135.872000000003</v>
      </c>
      <c r="Z63" s="65">
        <f>IF($C63="","",W63*'⚙️ SUPUESTOS'!$C$10)</f>
        <v>25343.640000000003</v>
      </c>
      <c r="AA63" s="65">
        <f>IF($C63="","",Y63*('⚙️ SUPUESTOS'!$C$12*'⚙️ SUPUESTOS'!$C$11+(1-'⚙️ SUPUESTOS'!$C$12)*'⚙️ SUPUESTOS'!$C$13))</f>
        <v>1305.0664704000003</v>
      </c>
      <c r="AB63" s="65">
        <f>IF($C63="","",IF(Y63&gt;0,ROUND(Y63*'⚙️ SUPUESTOS'!$C$12*'⚙️ SUPUESTOS'!$C$11,0),""))</f>
        <v>478</v>
      </c>
      <c r="AC63" s="65">
        <f>IF($C63="","",IF(Y63&gt;0,ROUND(Y63*(1-'⚙️ SUPUESTOS'!$C$12)*'⚙️ SUPUESTOS'!$C$13,0),""))</f>
        <v>827</v>
      </c>
      <c r="AD63" s="65">
        <f t="shared" si="2"/>
        <v>7283</v>
      </c>
      <c r="AE63" s="64">
        <f t="shared" si="3"/>
        <v>19.419424661360143</v>
      </c>
      <c r="AF63" s="59" t="str">
        <f>IF($C63="","",IF(AE63="","—",IF(AE63&lt;='⚙️ SUPUESTOS'!$C$32,"✔ Muy recomendable",IF(AE63&lt;='⚙️ SUPUESTOS'!$C$33,"✔ Recomendable","Valorar"))))</f>
        <v>Valorar</v>
      </c>
      <c r="AG63" s="68">
        <f>IF('📇 INVENTARIO'!O64="","",'📇 INVENTARIO'!O64)</f>
        <v>41.649839999999998</v>
      </c>
      <c r="AH63" s="68">
        <f>IF('📇 INVENTARIO'!P64="","",'📇 INVENTARIO'!P64)</f>
        <v>-4.7102500000000003</v>
      </c>
    </row>
    <row r="64" spans="1:34" ht="45" customHeight="1">
      <c r="A64" s="69">
        <f>IF($C64="","",RANK(O64,$O$3:$O$265,0)+COUNTIF($O$3:O64,O64)-1)</f>
        <v>62</v>
      </c>
      <c r="B64" s="70" t="str">
        <f>IF($C64="","",IF(A64&lt;='⚙️ SUPUESTOS'!$C$29,"Fase 1",IF(A64&lt;='⚙️ SUPUESTOS'!$C$30,"Fase 2","Fase 3")))</f>
        <v>Fase 1</v>
      </c>
      <c r="C64" s="71" t="str">
        <f>IF('📇 INVENTARIO'!B65="","",'📇 INVENTARIO'!B65)</f>
        <v>C/ Villabáñez, 23</v>
      </c>
      <c r="D64" s="70" t="str">
        <f>IF('📇 INVENTARIO'!C65="","",'📇 INVENTARIO'!C65)</f>
        <v>7825415UM5172F</v>
      </c>
      <c r="E64" s="70" t="str">
        <f>IF('📇 INVENTARIO'!D65="","",'📇 INVENTARIO'!D65)</f>
        <v>4718606023</v>
      </c>
      <c r="F64" s="70" t="str">
        <f>IF('📇 INVENTARIO'!F65="","",'📇 INVENTARIO'!F65)</f>
        <v>G</v>
      </c>
      <c r="G64" s="72">
        <f>IF('📇 INVENTARIO'!G65="","",'📇 INVENTARIO'!G65)</f>
        <v>367</v>
      </c>
      <c r="H64" s="72">
        <f>IF('📇 INVENTARIO'!H65="","",'📇 INVENTARIO'!H65)</f>
        <v>77</v>
      </c>
      <c r="I64" s="72">
        <f>IF('📇 INVENTARIO'!I65="","",'📇 INVENTARIO'!I65)</f>
        <v>261.7</v>
      </c>
      <c r="J64" s="72">
        <f>IF('📇 INVENTARIO'!J65="","",'📇 INVENTARIO'!J65)</f>
        <v>1965</v>
      </c>
      <c r="K64" s="73">
        <f>IF($C64="","",(G64-'⚙️ SUPUESTOS'!$C$20)/('⚙️ SUPUESTOS'!$C$25-'⚙️ SUPUESTOS'!$C$20))</f>
        <v>0.38554216867469882</v>
      </c>
      <c r="L64" s="73">
        <f>IF($C64="","",VLOOKUP($E64,'📊 SECCIONES'!$B$4:$S$9,16,FALSE()))</f>
        <v>0.54128061278831963</v>
      </c>
      <c r="M64" s="73">
        <f>IF($C64="","",VLOOKUP($E64,'📊 SECCIONES'!$B$4:$S$9,17,FALSE()))</f>
        <v>0.59585492227979275</v>
      </c>
      <c r="N64" s="73">
        <f>IF($C64="","",VLOOKUP($E64,'📊 SECCIONES'!$B$4:$S$9,18,FALSE()))</f>
        <v>0.28636363636363632</v>
      </c>
      <c r="O64" s="74">
        <f>IF($C64="","",ROUND('⚙️ SUPUESTOS'!$C$21*K64+'⚙️ SUPUESTOS'!$C$22*L64+'⚙️ SUPUESTOS'!$C$23*M64+'⚙️ SUPUESTOS'!$C$24*N64,4))</f>
        <v>0.44030000000000002</v>
      </c>
      <c r="P64" s="75">
        <f>IF($C64="","",VLOOKUP($E64,'📊 SECCIONES'!$B$4:$S$9,7,FALSE()))</f>
        <v>39.409999999999997</v>
      </c>
      <c r="Q64" s="76">
        <f>IF($C64="","",VLOOKUP($E64,'📊 SECCIONES'!$B$4:$S$9,8,FALSE()))</f>
        <v>22486</v>
      </c>
      <c r="R64" s="75">
        <f>IF($C64="","",VLOOKUP($E64,'📊 SECCIONES'!$B$4:$S$9,10,FALSE()))</f>
        <v>16.899999999999999</v>
      </c>
      <c r="S64" s="72">
        <f>IF('📇 INVENTARIO'!K65="","",'📇 INVENTARIO'!K65)</f>
        <v>3</v>
      </c>
      <c r="T64" s="77" t="str">
        <f t="shared" si="0"/>
        <v>Objetivo: alcanzar calificación C. Actual: Cal.G. SATE integral + cubierta + carpinterías triple + aerotermia + instalación fotovoltaica</v>
      </c>
      <c r="U64" s="70" t="str">
        <f t="shared" si="1"/>
        <v>—</v>
      </c>
      <c r="V64" s="78">
        <f>IF('📇 INVENTARIO'!L65="","",'📇 INVENTARIO'!L65)</f>
        <v>114.1</v>
      </c>
      <c r="W64" s="75">
        <f>IF($C64="","",V64*'⚙️ SUPUESTOS'!$C$8*'⚙️ SUPUESTOS'!$C$9)</f>
        <v>23.960999999999999</v>
      </c>
      <c r="X64" s="78">
        <f>IF('📇 INVENTARIO'!N65="","",'📇 INVENTARIO'!N65)</f>
        <v>1411</v>
      </c>
      <c r="Y64" s="78">
        <f>IF($C64="","",W64*X64*'⚙️ SUPUESTOS'!$C$7)</f>
        <v>30428.073899999999</v>
      </c>
      <c r="Z64" s="76">
        <f>IF($C64="","",W64*'⚙️ SUPUESTOS'!$C$10)</f>
        <v>31987.934999999998</v>
      </c>
      <c r="AA64" s="76">
        <f>IF($C64="","",Y64*('⚙️ SUPUESTOS'!$C$12*'⚙️ SUPUESTOS'!$C$11+(1-'⚙️ SUPUESTOS'!$C$12)*'⚙️ SUPUESTOS'!$C$13))</f>
        <v>2075.1946399800004</v>
      </c>
      <c r="AB64" s="76">
        <f>IF($C64="","",IF(Y64&gt;0,ROUND(Y64*'⚙️ SUPUESTOS'!$C$12*'⚙️ SUPUESTOS'!$C$11,0),""))</f>
        <v>761</v>
      </c>
      <c r="AC64" s="76">
        <f>IF($C64="","",IF(Y64&gt;0,ROUND(Y64*(1-'⚙️ SUPUESTOS'!$C$12)*'⚙️ SUPUESTOS'!$C$13,0),""))</f>
        <v>1314</v>
      </c>
      <c r="AD64" s="76">
        <f t="shared" si="2"/>
        <v>19892</v>
      </c>
      <c r="AE64" s="75">
        <f t="shared" si="3"/>
        <v>15.414426378967653</v>
      </c>
      <c r="AF64" s="70" t="str">
        <f>IF($C64="","",IF(AE64="","—",IF(AE64&lt;='⚙️ SUPUESTOS'!$C$32,"✔ Muy recomendable",IF(AE64&lt;='⚙️ SUPUESTOS'!$C$33,"✔ Recomendable","Valorar"))))</f>
        <v>✔ Recomendable</v>
      </c>
      <c r="AG64" s="79">
        <f>IF('📇 INVENTARIO'!O65="","",'📇 INVENTARIO'!O65)</f>
        <v>41.649120000000003</v>
      </c>
      <c r="AH64" s="79">
        <f>IF('📇 INVENTARIO'!P65="","",'📇 INVENTARIO'!P65)</f>
        <v>-4.70852</v>
      </c>
    </row>
    <row r="65" spans="1:34" ht="45" customHeight="1">
      <c r="A65" s="69">
        <f>IF($C65="","",RANK(O65,$O$3:$O$265,0)+COUNTIF($O$3:O65,O65)-1)</f>
        <v>63</v>
      </c>
      <c r="B65" s="70" t="str">
        <f>IF($C65="","",IF(A65&lt;='⚙️ SUPUESTOS'!$C$29,"Fase 1",IF(A65&lt;='⚙️ SUPUESTOS'!$C$30,"Fase 2","Fase 3")))</f>
        <v>Fase 1</v>
      </c>
      <c r="C65" s="71" t="str">
        <f>IF('📇 INVENTARIO'!B67="","",'📇 INVENTARIO'!B67)</f>
        <v>C/ Guacamayo, 2</v>
      </c>
      <c r="D65" s="70" t="str">
        <f>IF('📇 INVENTARIO'!C67="","",'📇 INVENTARIO'!C67)</f>
        <v>7825404UM5172F</v>
      </c>
      <c r="E65" s="70" t="str">
        <f>IF('📇 INVENTARIO'!D67="","",'📇 INVENTARIO'!D67)</f>
        <v>4718606023</v>
      </c>
      <c r="F65" s="70" t="str">
        <f>IF('📇 INVENTARIO'!F67="","",'📇 INVENTARIO'!F67)</f>
        <v>F</v>
      </c>
      <c r="G65" s="72">
        <f>IF('📇 INVENTARIO'!G67="","",'📇 INVENTARIO'!G67)</f>
        <v>347</v>
      </c>
      <c r="H65" s="72">
        <f>IF('📇 INVENTARIO'!H67="","",'📇 INVENTARIO'!H67)</f>
        <v>81</v>
      </c>
      <c r="I65" s="72">
        <f>IF('📇 INVENTARIO'!I67="","",'📇 INVENTARIO'!I67)</f>
        <v>225.3</v>
      </c>
      <c r="J65" s="72">
        <f>IF('📇 INVENTARIO'!J67="","",'📇 INVENTARIO'!J67)</f>
        <v>1965</v>
      </c>
      <c r="K65" s="73">
        <f>IF($C65="","",(G65-'⚙️ SUPUESTOS'!$C$20)/('⚙️ SUPUESTOS'!$C$25-'⚙️ SUPUESTOS'!$C$20))</f>
        <v>0.35111876075731496</v>
      </c>
      <c r="L65" s="73">
        <f>IF($C65="","",VLOOKUP($E65,'📊 SECCIONES'!$B$4:$S$9,16,FALSE()))</f>
        <v>0.54128061278831963</v>
      </c>
      <c r="M65" s="73">
        <f>IF($C65="","",VLOOKUP($E65,'📊 SECCIONES'!$B$4:$S$9,17,FALSE()))</f>
        <v>0.59585492227979275</v>
      </c>
      <c r="N65" s="73">
        <f>IF($C65="","",VLOOKUP($E65,'📊 SECCIONES'!$B$4:$S$9,18,FALSE()))</f>
        <v>0.28636363636363632</v>
      </c>
      <c r="O65" s="74">
        <f>IF($C65="","",ROUND('⚙️ SUPUESTOS'!$C$21*K65+'⚙️ SUPUESTOS'!$C$22*L65+'⚙️ SUPUESTOS'!$C$23*M65+'⚙️ SUPUESTOS'!$C$24*N65,4))</f>
        <v>0.4214</v>
      </c>
      <c r="P65" s="75">
        <f>IF($C65="","",VLOOKUP($E65,'📊 SECCIONES'!$B$4:$S$9,7,FALSE()))</f>
        <v>39.409999999999997</v>
      </c>
      <c r="Q65" s="76">
        <f>IF($C65="","",VLOOKUP($E65,'📊 SECCIONES'!$B$4:$S$9,8,FALSE()))</f>
        <v>22486</v>
      </c>
      <c r="R65" s="75">
        <f>IF($C65="","",VLOOKUP($E65,'📊 SECCIONES'!$B$4:$S$9,10,FALSE()))</f>
        <v>16.899999999999999</v>
      </c>
      <c r="S65" s="72">
        <f>IF('📇 INVENTARIO'!K67="","",'📇 INVENTARIO'!K67)</f>
        <v>3</v>
      </c>
      <c r="T65" s="77" t="str">
        <f t="shared" si="0"/>
        <v>Objetivo: alcanzar calificación C. Actual: Cal.F. SATE integral + cubierta + carpinterías triple + aerotermia + instalación fotovoltaica</v>
      </c>
      <c r="U65" s="70" t="str">
        <f t="shared" si="1"/>
        <v>—</v>
      </c>
      <c r="V65" s="78">
        <f>IF('📇 INVENTARIO'!L67="","",'📇 INVENTARIO'!L67)</f>
        <v>99.5</v>
      </c>
      <c r="W65" s="75">
        <f>IF($C65="","",V65*'⚙️ SUPUESTOS'!$C$8*'⚙️ SUPUESTOS'!$C$9)</f>
        <v>20.895</v>
      </c>
      <c r="X65" s="78">
        <f>IF('📇 INVENTARIO'!N67="","",'📇 INVENTARIO'!N67)</f>
        <v>992</v>
      </c>
      <c r="Y65" s="78">
        <f>IF($C65="","",W65*X65*'⚙️ SUPUESTOS'!$C$7)</f>
        <v>18655.056</v>
      </c>
      <c r="Z65" s="76">
        <f>IF($C65="","",W65*'⚙️ SUPUESTOS'!$C$10)</f>
        <v>27894.825000000001</v>
      </c>
      <c r="AA65" s="76">
        <f>IF($C65="","",Y65*('⚙️ SUPUESTOS'!$C$12*'⚙️ SUPUESTOS'!$C$11+(1-'⚙️ SUPUESTOS'!$C$12)*'⚙️ SUPUESTOS'!$C$13))</f>
        <v>1272.2748192000001</v>
      </c>
      <c r="AB65" s="76">
        <f>IF($C65="","",IF(Y65&gt;0,ROUND(Y65*'⚙️ SUPUESTOS'!$C$12*'⚙️ SUPUESTOS'!$C$11,0),""))</f>
        <v>466</v>
      </c>
      <c r="AC65" s="76">
        <f>IF($C65="","",IF(Y65&gt;0,ROUND(Y65*(1-'⚙️ SUPUESTOS'!$C$12)*'⚙️ SUPUESTOS'!$C$13,0),""))</f>
        <v>806</v>
      </c>
      <c r="AD65" s="65">
        <f t="shared" si="2"/>
        <v>3912</v>
      </c>
      <c r="AE65" s="64">
        <f t="shared" si="3"/>
        <v>21.925156875729193</v>
      </c>
      <c r="AF65" s="59" t="str">
        <f>IF($C65="","",IF(AE65="","—",IF(AE65&lt;='⚙️ SUPUESTOS'!$C$32,"✔ Muy recomendable",IF(AE65&lt;='⚙️ SUPUESTOS'!$C$33,"✔ Recomendable","Valorar"))))</f>
        <v>Valorar</v>
      </c>
      <c r="AG65" s="68">
        <f>IF('📇 INVENTARIO'!O66="","",'📇 INVENTARIO'!O66)</f>
        <v>41.64922</v>
      </c>
      <c r="AH65" s="68">
        <f>IF('📇 INVENTARIO'!P66="","",'📇 INVENTARIO'!P66)</f>
        <v>-4.7092200000000002</v>
      </c>
    </row>
    <row r="66" spans="1:34" ht="45" customHeight="1">
      <c r="A66" s="58">
        <f>IF($C66="","",RANK(O66,$O$3:$O$265,0)+COUNTIF($O$3:O66,O66)-1)</f>
        <v>64</v>
      </c>
      <c r="B66" s="59" t="str">
        <f>IF($C66="","",IF(A66&lt;='⚙️ SUPUESTOS'!$C$29,"Fase 1",IF(A66&lt;='⚙️ SUPUESTOS'!$C$30,"Fase 2","Fase 3")))</f>
        <v>Fase 1</v>
      </c>
      <c r="C66" s="60" t="str">
        <f>IF('📇 INVENTARIO'!B66="","",'📇 INVENTARIO'!B66)</f>
        <v>C/ Villabáñez, 14</v>
      </c>
      <c r="D66" s="59" t="str">
        <f>IF('📇 INVENTARIO'!C66="","",'📇 INVENTARIO'!C66)</f>
        <v>7724208UM5172D</v>
      </c>
      <c r="E66" s="59" t="str">
        <f>IF('📇 INVENTARIO'!D66="","",'📇 INVENTARIO'!D66)</f>
        <v>4718606026</v>
      </c>
      <c r="F66" s="59" t="str">
        <f>IF('📇 INVENTARIO'!F66="","",'📇 INVENTARIO'!F66)</f>
        <v>E</v>
      </c>
      <c r="G66" s="61">
        <f>IF('📇 INVENTARIO'!G66="","",'📇 INVENTARIO'!G66)</f>
        <v>207</v>
      </c>
      <c r="H66" s="61">
        <f>IF('📇 INVENTARIO'!H66="","",'📇 INVENTARIO'!H66)</f>
        <v>41</v>
      </c>
      <c r="I66" s="61">
        <f>IF('📇 INVENTARIO'!I66="","",'📇 INVENTARIO'!I66)</f>
        <v>103.5</v>
      </c>
      <c r="J66" s="61">
        <f>IF('📇 INVENTARIO'!J66="","",'📇 INVENTARIO'!J66)</f>
        <v>1965</v>
      </c>
      <c r="K66" s="62">
        <f>IF($C66="","",(G66-'⚙️ SUPUESTOS'!$C$20)/('⚙️ SUPUESTOS'!$C$25-'⚙️ SUPUESTOS'!$C$20))</f>
        <v>0.11015490533562823</v>
      </c>
      <c r="L66" s="62">
        <f>IF($C66="","",VLOOKUP($E66,'📊 SECCIONES'!$B$4:$S$9,16,FALSE()))</f>
        <v>1</v>
      </c>
      <c r="M66" s="62">
        <f>IF($C66="","",VLOOKUP($E66,'📊 SECCIONES'!$B$4:$S$9,17,FALSE()))</f>
        <v>1</v>
      </c>
      <c r="N66" s="62">
        <f>IF($C66="","",VLOOKUP($E66,'📊 SECCIONES'!$B$4:$S$9,18,FALSE()))</f>
        <v>0</v>
      </c>
      <c r="O66" s="63">
        <f>IF($C66="","",ROUND('⚙️ SUPUESTOS'!$C$21*K66+'⚙️ SUPUESTOS'!$C$22*L66+'⚙️ SUPUESTOS'!$C$23*M66+'⚙️ SUPUESTOS'!$C$24*N66,4))</f>
        <v>0.42059999999999997</v>
      </c>
      <c r="P66" s="64">
        <f>IF($C66="","",VLOOKUP($E66,'📊 SECCIONES'!$B$4:$S$9,7,FALSE()))</f>
        <v>66.510000000000005</v>
      </c>
      <c r="Q66" s="65">
        <f>IF($C66="","",VLOOKUP($E66,'📊 SECCIONES'!$B$4:$S$9,8,FALSE()))</f>
        <v>17450</v>
      </c>
      <c r="R66" s="64">
        <f>IF($C66="","",VLOOKUP($E66,'📊 SECCIONES'!$B$4:$S$9,10,FALSE()))</f>
        <v>10.6</v>
      </c>
      <c r="S66" s="61">
        <f>IF('📇 INVENTARIO'!K66="","",'📇 INVENTARIO'!K66)</f>
        <v>3</v>
      </c>
      <c r="T66" s="66" t="str">
        <f t="shared" si="0"/>
        <v>Objetivo: alcanzar calificación C. Actual: Cal.E. SATE fachada + carpinterías doble + instalación fotovoltaica</v>
      </c>
      <c r="U66" s="59" t="str">
        <f t="shared" si="1"/>
        <v>—</v>
      </c>
      <c r="V66" s="67">
        <f>IF('📇 INVENTARIO'!L66="","",'📇 INVENTARIO'!L66)</f>
        <v>113.4</v>
      </c>
      <c r="W66" s="64">
        <f>IF($C66="","",V66*'⚙️ SUPUESTOS'!$C$8*'⚙️ SUPUESTOS'!$C$9)</f>
        <v>23.814</v>
      </c>
      <c r="X66" s="67">
        <f>IF('📇 INVENTARIO'!N66="","",'📇 INVENTARIO'!N66)</f>
        <v>1445</v>
      </c>
      <c r="Y66" s="67">
        <f>IF($C66="","",W66*X66*'⚙️ SUPUESTOS'!$C$7)</f>
        <v>30970.107000000004</v>
      </c>
      <c r="Z66" s="65">
        <f>IF($C66="","",W66*'⚙️ SUPUESTOS'!$C$10)</f>
        <v>31791.69</v>
      </c>
      <c r="AA66" s="65">
        <f>IF($C66="","",Y66*('⚙️ SUPUESTOS'!$C$12*'⚙️ SUPUESTOS'!$C$11+(1-'⚙️ SUPUESTOS'!$C$12)*'⚙️ SUPUESTOS'!$C$13))</f>
        <v>2112.1612974000004</v>
      </c>
      <c r="AB66" s="65">
        <f>IF($C66="","",IF(Y66&gt;0,ROUND(Y66*'⚙️ SUPUESTOS'!$C$12*'⚙️ SUPUESTOS'!$C$11,0),""))</f>
        <v>774</v>
      </c>
      <c r="AC66" s="65">
        <f>IF($C66="","",IF(Y66&gt;0,ROUND(Y66*(1-'⚙️ SUPUESTOS'!$C$12)*'⚙️ SUPUESTOS'!$C$13,0),""))</f>
        <v>1338</v>
      </c>
      <c r="AD66" s="76">
        <f t="shared" si="2"/>
        <v>21012</v>
      </c>
      <c r="AE66" s="75">
        <f t="shared" si="3"/>
        <v>15.051733993580179</v>
      </c>
      <c r="AF66" s="70" t="str">
        <f>IF($C66="","",IF(AE66="","—",IF(AE66&lt;='⚙️ SUPUESTOS'!$C$32,"✔ Muy recomendable",IF(AE66&lt;='⚙️ SUPUESTOS'!$C$33,"✔ Recomendable","Valorar"))))</f>
        <v>✔ Recomendable</v>
      </c>
      <c r="AG66" s="79">
        <f>IF('📇 INVENTARIO'!O67="","",'📇 INVENTARIO'!O67)</f>
        <v>41.649450000000002</v>
      </c>
      <c r="AH66" s="79">
        <f>IF('📇 INVENTARIO'!P67="","",'📇 INVENTARIO'!P67)</f>
        <v>-4.70885</v>
      </c>
    </row>
    <row r="67" spans="1:34" ht="45" customHeight="1">
      <c r="A67" s="69">
        <f>IF($C67="","",RANK(O67,$O$3:$O$265,0)+COUNTIF($O$3:O67,O67)-1)</f>
        <v>65</v>
      </c>
      <c r="B67" s="70" t="str">
        <f>IF($C67="","",IF(A67&lt;='⚙️ SUPUESTOS'!$C$29,"Fase 1",IF(A67&lt;='⚙️ SUPUESTOS'!$C$30,"Fase 2","Fase 3")))</f>
        <v>Fase 1</v>
      </c>
      <c r="C67" s="71" t="str">
        <f>IF('📇 INVENTARIO'!B69="","",'📇 INVENTARIO'!B69)</f>
        <v>C/ Villabáñez, 1</v>
      </c>
      <c r="D67" s="70" t="str">
        <f>IF('📇 INVENTARIO'!C69="","",'📇 INVENTARIO'!C69)</f>
        <v>7825711UM5172F</v>
      </c>
      <c r="E67" s="70" t="str">
        <f>IF('📇 INVENTARIO'!D69="","",'📇 INVENTARIO'!D69)</f>
        <v>4718606023</v>
      </c>
      <c r="F67" s="70" t="str">
        <f>IF('📇 INVENTARIO'!F69="","",'📇 INVENTARIO'!F69)</f>
        <v>G</v>
      </c>
      <c r="G67" s="72">
        <f>IF('📇 INVENTARIO'!G69="","",'📇 INVENTARIO'!G69)</f>
        <v>343</v>
      </c>
      <c r="H67" s="72">
        <f>IF('📇 INVENTARIO'!H69="","",'📇 INVENTARIO'!H69)</f>
        <v>58</v>
      </c>
      <c r="I67" s="72">
        <f>IF('📇 INVENTARIO'!I69="","",'📇 INVENTARIO'!I69)</f>
        <v>122.8</v>
      </c>
      <c r="J67" s="72">
        <f>IF('📇 INVENTARIO'!J69="","",'📇 INVENTARIO'!J69)</f>
        <v>1964</v>
      </c>
      <c r="K67" s="73">
        <f>IF($C67="","",(G67-'⚙️ SUPUESTOS'!$C$20)/('⚙️ SUPUESTOS'!$C$25-'⚙️ SUPUESTOS'!$C$20))</f>
        <v>0.34423407917383819</v>
      </c>
      <c r="L67" s="73">
        <f>IF($C67="","",VLOOKUP($E67,'📊 SECCIONES'!$B$4:$S$9,16,FALSE()))</f>
        <v>0.54128061278831963</v>
      </c>
      <c r="M67" s="73">
        <f>IF($C67="","",VLOOKUP($E67,'📊 SECCIONES'!$B$4:$S$9,17,FALSE()))</f>
        <v>0.59585492227979275</v>
      </c>
      <c r="N67" s="73">
        <f>IF($C67="","",VLOOKUP($E67,'📊 SECCIONES'!$B$4:$S$9,18,FALSE()))</f>
        <v>0.28636363636363632</v>
      </c>
      <c r="O67" s="74">
        <f>IF($C67="","",ROUND('⚙️ SUPUESTOS'!$C$21*K67+'⚙️ SUPUESTOS'!$C$22*L67+'⚙️ SUPUESTOS'!$C$23*M67+'⚙️ SUPUESTOS'!$C$24*N67,4))</f>
        <v>0.41760000000000003</v>
      </c>
      <c r="P67" s="75">
        <f>IF($C67="","",VLOOKUP($E67,'📊 SECCIONES'!$B$4:$S$9,7,FALSE()))</f>
        <v>39.409999999999997</v>
      </c>
      <c r="Q67" s="76">
        <f>IF($C67="","",VLOOKUP($E67,'📊 SECCIONES'!$B$4:$S$9,8,FALSE()))</f>
        <v>22486</v>
      </c>
      <c r="R67" s="75">
        <f>IF($C67="","",VLOOKUP($E67,'📊 SECCIONES'!$B$4:$S$9,10,FALSE()))</f>
        <v>16.899999999999999</v>
      </c>
      <c r="S67" s="72">
        <f>IF('📇 INVENTARIO'!K69="","",'📇 INVENTARIO'!K69)</f>
        <v>4</v>
      </c>
      <c r="T67" s="77" t="str">
        <f t="shared" ref="T67:T130" si="4">IF($C67="","","Objetivo: alcanzar calificación C. Actual: Cal."&amp;F67&amp;". "&amp;IF(OR(F67="G",F67="F"),"SATE integral + cubierta + carpinterías triple + aerotermia + instalación fotovoltaica",IF(F67="E","SATE fachada + carpinterías doble + instalación fotovoltaica",IF(F67="D","Mantenimiento de envolvente + instalación fotovoltaica en cubierta","Optimización energética + instalación fotovoltaica"))))</f>
        <v>Objetivo: alcanzar calificación C. Actual: Cal.G. SATE integral + cubierta + carpinterías triple + aerotermia + instalación fotovoltaica</v>
      </c>
      <c r="U67" s="70" t="str">
        <f t="shared" ref="U67:U130" si="5">IF($C67="","",IF(S67=0,"s/d",IF(S67&gt;=4,"Valorar ascensor (verificar)","—")))</f>
        <v>Valorar ascensor (verificar)</v>
      </c>
      <c r="V67" s="78">
        <f>IF('📇 INVENTARIO'!L69="","",'📇 INVENTARIO'!L69)</f>
        <v>231.1</v>
      </c>
      <c r="W67" s="75">
        <f>IF($C67="","",V67*'⚙️ SUPUESTOS'!$C$8*'⚙️ SUPUESTOS'!$C$9)</f>
        <v>48.530999999999999</v>
      </c>
      <c r="X67" s="78">
        <f>IF('📇 INVENTARIO'!N69="","",'📇 INVENTARIO'!N69)</f>
        <v>1321</v>
      </c>
      <c r="Y67" s="78">
        <f>IF($C67="","",W67*X67*'⚙️ SUPUESTOS'!$C$7)</f>
        <v>57698.505900000004</v>
      </c>
      <c r="Z67" s="76">
        <f>IF($C67="","",W67*'⚙️ SUPUESTOS'!$C$10)</f>
        <v>64788.885000000002</v>
      </c>
      <c r="AA67" s="76">
        <f>IF($C67="","",Y67*('⚙️ SUPUESTOS'!$C$12*'⚙️ SUPUESTOS'!$C$11+(1-'⚙️ SUPUESTOS'!$C$12)*'⚙️ SUPUESTOS'!$C$13))</f>
        <v>3935.038102380001</v>
      </c>
      <c r="AB67" s="76">
        <f>IF($C67="","",IF(Y67&gt;0,ROUND(Y67*'⚙️ SUPUESTOS'!$C$12*'⚙️ SUPUESTOS'!$C$11,0),""))</f>
        <v>1442</v>
      </c>
      <c r="AC67" s="76">
        <f>IF($C67="","",IF(Y67&gt;0,ROUND(Y67*(1-'⚙️ SUPUESTOS'!$C$12)*'⚙️ SUPUESTOS'!$C$13,0),""))</f>
        <v>2493</v>
      </c>
      <c r="AD67" s="65">
        <f t="shared" ref="AD67:AD130" si="6">IF($C67="","",IF(AND(ISNUMBER(AA67),ISNUMBER(AE67),AA67&gt;0,AE67&gt;0),ROUND(AA67*MAX(0,25-AE67),0),""))</f>
        <v>33587</v>
      </c>
      <c r="AE67" s="64">
        <f t="shared" ref="AE67:AE130" si="7">IF($C67="","",IF(AA67&gt;0,Z67/AA67,""))</f>
        <v>16.464614398730777</v>
      </c>
      <c r="AF67" s="59" t="str">
        <f>IF($C67="","",IF(AE67="","—",IF(AE67&lt;='⚙️ SUPUESTOS'!$C$32,"✔ Muy recomendable",IF(AE67&lt;='⚙️ SUPUESTOS'!$C$33,"✔ Recomendable","Valorar"))))</f>
        <v>Valorar</v>
      </c>
      <c r="AG67" s="68">
        <f>IF('📇 INVENTARIO'!O68="","",'📇 INVENTARIO'!O68)</f>
        <v>41.64902</v>
      </c>
      <c r="AH67" s="68">
        <f>IF('📇 INVENTARIO'!P68="","",'📇 INVENTARIO'!P68)</f>
        <v>-4.7088400000000004</v>
      </c>
    </row>
    <row r="68" spans="1:34" ht="45" customHeight="1">
      <c r="A68" s="58">
        <f>IF($C68="","",RANK(O68,$O$3:$O$265,0)+COUNTIF($O$3:O68,O68)-1)</f>
        <v>66</v>
      </c>
      <c r="B68" s="59" t="str">
        <f>IF($C68="","",IF(A68&lt;='⚙️ SUPUESTOS'!$C$29,"Fase 1",IF(A68&lt;='⚙️ SUPUESTOS'!$C$30,"Fase 2","Fase 3")))</f>
        <v>Fase 1</v>
      </c>
      <c r="C68" s="60" t="str">
        <f>IF('📇 INVENTARIO'!B70="","",'📇 INVENTARIO'!B70)</f>
        <v>C/ Pingüino, 4</v>
      </c>
      <c r="D68" s="59" t="str">
        <f>IF('📇 INVENTARIO'!C70="","",'📇 INVENTARIO'!C70)</f>
        <v>7925707UM5172F</v>
      </c>
      <c r="E68" s="59" t="str">
        <f>IF('📇 INVENTARIO'!D70="","",'📇 INVENTARIO'!D70)</f>
        <v>4718606023</v>
      </c>
      <c r="F68" s="59" t="str">
        <f>IF('📇 INVENTARIO'!F70="","",'📇 INVENTARIO'!F70)</f>
        <v>F</v>
      </c>
      <c r="G68" s="61">
        <f>IF('📇 INVENTARIO'!G70="","",'📇 INVENTARIO'!G70)</f>
        <v>341</v>
      </c>
      <c r="H68" s="61">
        <f>IF('📇 INVENTARIO'!H70="","",'📇 INVENTARIO'!H70)</f>
        <v>90</v>
      </c>
      <c r="I68" s="61">
        <f>IF('📇 INVENTARIO'!I70="","",'📇 INVENTARIO'!I70)</f>
        <v>211.1</v>
      </c>
      <c r="J68" s="61">
        <f>IF('📇 INVENTARIO'!J70="","",'📇 INVENTARIO'!J70)</f>
        <v>1965</v>
      </c>
      <c r="K68" s="62">
        <f>IF($C68="","",(G68-'⚙️ SUPUESTOS'!$C$20)/('⚙️ SUPUESTOS'!$C$25-'⚙️ SUPUESTOS'!$C$20))</f>
        <v>0.34079173838209981</v>
      </c>
      <c r="L68" s="62">
        <f>IF($C68="","",VLOOKUP($E68,'📊 SECCIONES'!$B$4:$S$9,16,FALSE()))</f>
        <v>0.54128061278831963</v>
      </c>
      <c r="M68" s="62">
        <f>IF($C68="","",VLOOKUP($E68,'📊 SECCIONES'!$B$4:$S$9,17,FALSE()))</f>
        <v>0.59585492227979275</v>
      </c>
      <c r="N68" s="62">
        <f>IF($C68="","",VLOOKUP($E68,'📊 SECCIONES'!$B$4:$S$9,18,FALSE()))</f>
        <v>0.28636363636363632</v>
      </c>
      <c r="O68" s="63">
        <f>IF($C68="","",ROUND('⚙️ SUPUESTOS'!$C$21*K68+'⚙️ SUPUESTOS'!$C$22*L68+'⚙️ SUPUESTOS'!$C$23*M68+'⚙️ SUPUESTOS'!$C$24*N68,4))</f>
        <v>0.41570000000000001</v>
      </c>
      <c r="P68" s="64">
        <f>IF($C68="","",VLOOKUP($E68,'📊 SECCIONES'!$B$4:$S$9,7,FALSE()))</f>
        <v>39.409999999999997</v>
      </c>
      <c r="Q68" s="65">
        <f>IF($C68="","",VLOOKUP($E68,'📊 SECCIONES'!$B$4:$S$9,8,FALSE()))</f>
        <v>22486</v>
      </c>
      <c r="R68" s="64">
        <f>IF($C68="","",VLOOKUP($E68,'📊 SECCIONES'!$B$4:$S$9,10,FALSE()))</f>
        <v>16.899999999999999</v>
      </c>
      <c r="S68" s="61">
        <f>IF('📇 INVENTARIO'!K70="","",'📇 INVENTARIO'!K70)</f>
        <v>3</v>
      </c>
      <c r="T68" s="66" t="str">
        <f t="shared" si="4"/>
        <v>Objetivo: alcanzar calificación C. Actual: Cal.F. SATE integral + cubierta + carpinterías triple + aerotermia + instalación fotovoltaica</v>
      </c>
      <c r="U68" s="59" t="str">
        <f t="shared" si="5"/>
        <v>—</v>
      </c>
      <c r="V68" s="67">
        <f>IF('📇 INVENTARIO'!L70="","",'📇 INVENTARIO'!L70)</f>
        <v>100.9</v>
      </c>
      <c r="W68" s="64">
        <f>IF($C68="","",V68*'⚙️ SUPUESTOS'!$C$8*'⚙️ SUPUESTOS'!$C$9)</f>
        <v>21.189</v>
      </c>
      <c r="X68" s="67">
        <f>IF('📇 INVENTARIO'!N70="","",'📇 INVENTARIO'!N70)</f>
        <v>1419</v>
      </c>
      <c r="Y68" s="67">
        <f>IF($C68="","",W68*X68*'⚙️ SUPUESTOS'!$C$7)</f>
        <v>27060.4719</v>
      </c>
      <c r="Z68" s="65">
        <f>IF($C68="","",W68*'⚙️ SUPUESTOS'!$C$10)</f>
        <v>28287.314999999999</v>
      </c>
      <c r="AA68" s="65">
        <f>IF($C68="","",Y68*('⚙️ SUPUESTOS'!$C$12*'⚙️ SUPUESTOS'!$C$11+(1-'⚙️ SUPUESTOS'!$C$12)*'⚙️ SUPUESTOS'!$C$13))</f>
        <v>1845.5241835800002</v>
      </c>
      <c r="AB68" s="65">
        <f>IF($C68="","",IF(Y68&gt;0,ROUND(Y68*'⚙️ SUPUESTOS'!$C$12*'⚙️ SUPUESTOS'!$C$11,0),""))</f>
        <v>677</v>
      </c>
      <c r="AC68" s="65">
        <f>IF($C68="","",IF(Y68&gt;0,ROUND(Y68*(1-'⚙️ SUPUESTOS'!$C$12)*'⚙️ SUPUESTOS'!$C$13,0),""))</f>
        <v>1169</v>
      </c>
      <c r="AD68" s="76">
        <f t="shared" si="6"/>
        <v>17851</v>
      </c>
      <c r="AE68" s="75">
        <f t="shared" si="7"/>
        <v>15.327523340890316</v>
      </c>
      <c r="AF68" s="70" t="str">
        <f>IF($C68="","",IF(AE68="","—",IF(AE68&lt;='⚙️ SUPUESTOS'!$C$32,"✔ Muy recomendable",IF(AE68&lt;='⚙️ SUPUESTOS'!$C$33,"✔ Recomendable","Valorar"))))</f>
        <v>✔ Recomendable</v>
      </c>
      <c r="AG68" s="79">
        <f>IF('📇 INVENTARIO'!O69="","",'📇 INVENTARIO'!O69)</f>
        <v>41.65</v>
      </c>
      <c r="AH68" s="79">
        <f>IF('📇 INVENTARIO'!P69="","",'📇 INVENTARIO'!P69)</f>
        <v>-4.7106000000000003</v>
      </c>
    </row>
    <row r="69" spans="1:34" ht="45" customHeight="1">
      <c r="A69" s="58">
        <f>IF($C69="","",RANK(O69,$O$3:$O$265,0)+COUNTIF($O$3:O69,O69)-1)</f>
        <v>67</v>
      </c>
      <c r="B69" s="59" t="str">
        <f>IF($C69="","",IF(A69&lt;='⚙️ SUPUESTOS'!$C$29,"Fase 1",IF(A69&lt;='⚙️ SUPUESTOS'!$C$30,"Fase 2","Fase 3")))</f>
        <v>Fase 1</v>
      </c>
      <c r="C69" s="60" t="str">
        <f>IF('📇 INVENTARIO'!B68="","",'📇 INVENTARIO'!B68)</f>
        <v>C/ Villabáñez, 16</v>
      </c>
      <c r="D69" s="59" t="str">
        <f>IF('📇 INVENTARIO'!C68="","",'📇 INVENTARIO'!C68)</f>
        <v>7824501UM5172D</v>
      </c>
      <c r="E69" s="59" t="str">
        <f>IF('📇 INVENTARIO'!D68="","",'📇 INVENTARIO'!D68)</f>
        <v>4718606026</v>
      </c>
      <c r="F69" s="59" t="str">
        <f>IF('📇 INVENTARIO'!F68="","",'📇 INVENTARIO'!F68)</f>
        <v>E</v>
      </c>
      <c r="G69" s="61">
        <f>IF('📇 INVENTARIO'!G68="","",'📇 INVENTARIO'!G68)</f>
        <v>200</v>
      </c>
      <c r="H69" s="61">
        <f>IF('📇 INVENTARIO'!H68="","",'📇 INVENTARIO'!H68)</f>
        <v>42</v>
      </c>
      <c r="I69" s="61">
        <f>IF('📇 INVENTARIO'!I68="","",'📇 INVENTARIO'!I68)</f>
        <v>80.8</v>
      </c>
      <c r="J69" s="61">
        <f>IF('📇 INVENTARIO'!J68="","",'📇 INVENTARIO'!J68)</f>
        <v>1965</v>
      </c>
      <c r="K69" s="62">
        <f>IF($C69="","",(G69-'⚙️ SUPUESTOS'!$C$20)/('⚙️ SUPUESTOS'!$C$25-'⚙️ SUPUESTOS'!$C$20))</f>
        <v>9.8106712564543896E-2</v>
      </c>
      <c r="L69" s="62">
        <f>IF($C69="","",VLOOKUP($E69,'📊 SECCIONES'!$B$4:$S$9,16,FALSE()))</f>
        <v>1</v>
      </c>
      <c r="M69" s="62">
        <f>IF($C69="","",VLOOKUP($E69,'📊 SECCIONES'!$B$4:$S$9,17,FALSE()))</f>
        <v>1</v>
      </c>
      <c r="N69" s="62">
        <f>IF($C69="","",VLOOKUP($E69,'📊 SECCIONES'!$B$4:$S$9,18,FALSE()))</f>
        <v>0</v>
      </c>
      <c r="O69" s="63">
        <f>IF($C69="","",ROUND('⚙️ SUPUESTOS'!$C$21*K69+'⚙️ SUPUESTOS'!$C$22*L69+'⚙️ SUPUESTOS'!$C$23*M69+'⚙️ SUPUESTOS'!$C$24*N69,4))</f>
        <v>0.41399999999999998</v>
      </c>
      <c r="P69" s="64">
        <f>IF($C69="","",VLOOKUP($E69,'📊 SECCIONES'!$B$4:$S$9,7,FALSE()))</f>
        <v>66.510000000000005</v>
      </c>
      <c r="Q69" s="65">
        <f>IF($C69="","",VLOOKUP($E69,'📊 SECCIONES'!$B$4:$S$9,8,FALSE()))</f>
        <v>17450</v>
      </c>
      <c r="R69" s="64">
        <f>IF($C69="","",VLOOKUP($E69,'📊 SECCIONES'!$B$4:$S$9,10,FALSE()))</f>
        <v>10.6</v>
      </c>
      <c r="S69" s="61">
        <f>IF('📇 INVENTARIO'!K68="","",'📇 INVENTARIO'!K68)</f>
        <v>3</v>
      </c>
      <c r="T69" s="66" t="str">
        <f t="shared" si="4"/>
        <v>Objetivo: alcanzar calificación C. Actual: Cal.E. SATE fachada + carpinterías doble + instalación fotovoltaica</v>
      </c>
      <c r="U69" s="59" t="str">
        <f t="shared" si="5"/>
        <v>—</v>
      </c>
      <c r="V69" s="67">
        <f>IF('📇 INVENTARIO'!L68="","",'📇 INVENTARIO'!L68)</f>
        <v>113</v>
      </c>
      <c r="W69" s="64">
        <f>IF($C69="","",V69*'⚙️ SUPUESTOS'!$C$8*'⚙️ SUPUESTOS'!$C$9)</f>
        <v>23.73</v>
      </c>
      <c r="X69" s="67">
        <f>IF('📇 INVENTARIO'!N68="","",'📇 INVENTARIO'!N68)</f>
        <v>1381</v>
      </c>
      <c r="Y69" s="67">
        <f>IF($C69="","",W69*X69*'⚙️ SUPUESTOS'!$C$7)</f>
        <v>29494.017</v>
      </c>
      <c r="Z69" s="65">
        <f>IF($C69="","",W69*'⚙️ SUPUESTOS'!$C$10)</f>
        <v>31679.55</v>
      </c>
      <c r="AA69" s="65">
        <f>IF($C69="","",Y69*('⚙️ SUPUESTOS'!$C$12*'⚙️ SUPUESTOS'!$C$11+(1-'⚙️ SUPUESTOS'!$C$12)*'⚙️ SUPUESTOS'!$C$13))</f>
        <v>2011.4919594000003</v>
      </c>
      <c r="AB69" s="65">
        <f>IF($C69="","",IF(Y69&gt;0,ROUND(Y69*'⚙️ SUPUESTOS'!$C$12*'⚙️ SUPUESTOS'!$C$11,0),""))</f>
        <v>737</v>
      </c>
      <c r="AC69" s="65">
        <f>IF($C69="","",IF(Y69&gt;0,ROUND(Y69*(1-'⚙️ SUPUESTOS'!$C$12)*'⚙️ SUPUESTOS'!$C$13,0),""))</f>
        <v>1274</v>
      </c>
      <c r="AD69" s="65">
        <f t="shared" si="6"/>
        <v>18608</v>
      </c>
      <c r="AE69" s="64">
        <f t="shared" si="7"/>
        <v>15.749279957077016</v>
      </c>
      <c r="AF69" s="59" t="str">
        <f>IF($C69="","",IF(AE69="","—",IF(AE69&lt;='⚙️ SUPUESTOS'!$C$32,"✔ Muy recomendable",IF(AE69&lt;='⚙️ SUPUESTOS'!$C$33,"✔ Recomendable","Valorar"))))</f>
        <v>✔ Recomendable</v>
      </c>
      <c r="AG69" s="68">
        <f>IF('📇 INVENTARIO'!O70="","",'📇 INVENTARIO'!O70)</f>
        <v>41.649900000000002</v>
      </c>
      <c r="AH69" s="68">
        <f>IF('📇 INVENTARIO'!P70="","",'📇 INVENTARIO'!P70)</f>
        <v>-4.7080000000000002</v>
      </c>
    </row>
    <row r="70" spans="1:34" ht="45" customHeight="1">
      <c r="A70" s="58">
        <f>IF($C70="","",RANK(O70,$O$3:$O$265,0)+COUNTIF($O$3:O70,O70)-1)</f>
        <v>68</v>
      </c>
      <c r="B70" s="59" t="str">
        <f>IF($C70="","",IF(A70&lt;='⚙️ SUPUESTOS'!$C$29,"Fase 1",IF(A70&lt;='⚙️ SUPUESTOS'!$C$30,"Fase 2","Fase 3")))</f>
        <v>Fase 2</v>
      </c>
      <c r="C70" s="60" t="str">
        <f>IF('📇 INVENTARIO'!B72="","",'📇 INVENTARIO'!B72)</f>
        <v>C/ Guacamayo, 4</v>
      </c>
      <c r="D70" s="59" t="str">
        <f>IF('📇 INVENTARIO'!C72="","",'📇 INVENTARIO'!C72)</f>
        <v>7825405UM5172F</v>
      </c>
      <c r="E70" s="59" t="str">
        <f>IF('📇 INVENTARIO'!D72="","",'📇 INVENTARIO'!D72)</f>
        <v>4718606023</v>
      </c>
      <c r="F70" s="59" t="str">
        <f>IF('📇 INVENTARIO'!F72="","",'📇 INVENTARIO'!F72)</f>
        <v>G</v>
      </c>
      <c r="G70" s="61">
        <f>IF('📇 INVENTARIO'!G72="","",'📇 INVENTARIO'!G72)</f>
        <v>334</v>
      </c>
      <c r="H70" s="61">
        <f>IF('📇 INVENTARIO'!H72="","",'📇 INVENTARIO'!H72)</f>
        <v>70</v>
      </c>
      <c r="I70" s="61">
        <f>IF('📇 INVENTARIO'!I72="","",'📇 INVENTARIO'!I72)</f>
        <v>180</v>
      </c>
      <c r="J70" s="61">
        <f>IF('📇 INVENTARIO'!J72="","",'📇 INVENTARIO'!J72)</f>
        <v>1965</v>
      </c>
      <c r="K70" s="62">
        <f>IF($C70="","",(G70-'⚙️ SUPUESTOS'!$C$20)/('⚙️ SUPUESTOS'!$C$25-'⚙️ SUPUESTOS'!$C$20))</f>
        <v>0.32874354561101549</v>
      </c>
      <c r="L70" s="62">
        <f>IF($C70="","",VLOOKUP($E70,'📊 SECCIONES'!$B$4:$S$9,16,FALSE()))</f>
        <v>0.54128061278831963</v>
      </c>
      <c r="M70" s="62">
        <f>IF($C70="","",VLOOKUP($E70,'📊 SECCIONES'!$B$4:$S$9,17,FALSE()))</f>
        <v>0.59585492227979275</v>
      </c>
      <c r="N70" s="62">
        <f>IF($C70="","",VLOOKUP($E70,'📊 SECCIONES'!$B$4:$S$9,18,FALSE()))</f>
        <v>0.28636363636363632</v>
      </c>
      <c r="O70" s="63">
        <f>IF($C70="","",ROUND('⚙️ SUPUESTOS'!$C$21*K70+'⚙️ SUPUESTOS'!$C$22*L70+'⚙️ SUPUESTOS'!$C$23*M70+'⚙️ SUPUESTOS'!$C$24*N70,4))</f>
        <v>0.40910000000000002</v>
      </c>
      <c r="P70" s="64">
        <f>IF($C70="","",VLOOKUP($E70,'📊 SECCIONES'!$B$4:$S$9,7,FALSE()))</f>
        <v>39.409999999999997</v>
      </c>
      <c r="Q70" s="65">
        <f>IF($C70="","",VLOOKUP($E70,'📊 SECCIONES'!$B$4:$S$9,8,FALSE()))</f>
        <v>22486</v>
      </c>
      <c r="R70" s="64">
        <f>IF($C70="","",VLOOKUP($E70,'📊 SECCIONES'!$B$4:$S$9,10,FALSE()))</f>
        <v>16.899999999999999</v>
      </c>
      <c r="S70" s="61">
        <f>IF('📇 INVENTARIO'!K72="","",'📇 INVENTARIO'!K72)</f>
        <v>3</v>
      </c>
      <c r="T70" s="66" t="str">
        <f t="shared" si="4"/>
        <v>Objetivo: alcanzar calificación C. Actual: Cal.G. SATE integral + cubierta + carpinterías triple + aerotermia + instalación fotovoltaica</v>
      </c>
      <c r="U70" s="59" t="str">
        <f t="shared" si="5"/>
        <v>—</v>
      </c>
      <c r="V70" s="67">
        <f>IF('📇 INVENTARIO'!L72="","",'📇 INVENTARIO'!L72)</f>
        <v>103.7</v>
      </c>
      <c r="W70" s="64">
        <f>IF($C70="","",V70*'⚙️ SUPUESTOS'!$C$8*'⚙️ SUPUESTOS'!$C$9)</f>
        <v>21.777000000000001</v>
      </c>
      <c r="X70" s="67">
        <f>IF('📇 INVENTARIO'!N72="","",'📇 INVENTARIO'!N72)</f>
        <v>906</v>
      </c>
      <c r="Y70" s="67">
        <f>IF($C70="","",W70*X70*'⚙️ SUPUESTOS'!$C$7)</f>
        <v>17756.965800000002</v>
      </c>
      <c r="Z70" s="65">
        <f>IF($C70="","",W70*'⚙️ SUPUESTOS'!$C$10)</f>
        <v>29072.295000000002</v>
      </c>
      <c r="AA70" s="65">
        <f>IF($C70="","",Y70*('⚙️ SUPUESTOS'!$C$12*'⚙️ SUPUESTOS'!$C$11+(1-'⚙️ SUPUESTOS'!$C$12)*'⚙️ SUPUESTOS'!$C$13))</f>
        <v>1211.0250675600003</v>
      </c>
      <c r="AB70" s="65">
        <f>IF($C70="","",IF(Y70&gt;0,ROUND(Y70*'⚙️ SUPUESTOS'!$C$12*'⚙️ SUPUESTOS'!$C$11,0),""))</f>
        <v>444</v>
      </c>
      <c r="AC70" s="65">
        <f>IF($C70="","",IF(Y70&gt;0,ROUND(Y70*(1-'⚙️ SUPUESTOS'!$C$12)*'⚙️ SUPUESTOS'!$C$13,0),""))</f>
        <v>767</v>
      </c>
      <c r="AD70" s="76">
        <f t="shared" si="6"/>
        <v>1203</v>
      </c>
      <c r="AE70" s="75">
        <f t="shared" si="7"/>
        <v>24.006352782255362</v>
      </c>
      <c r="AF70" s="70" t="str">
        <f>IF($C70="","",IF(AE70="","—",IF(AE70&lt;='⚙️ SUPUESTOS'!$C$32,"✔ Muy recomendable",IF(AE70&lt;='⚙️ SUPUESTOS'!$C$33,"✔ Recomendable","Valorar"))))</f>
        <v>Valorar</v>
      </c>
      <c r="AG70" s="79">
        <f>IF('📇 INVENTARIO'!O71="","",'📇 INVENTARIO'!O71)</f>
        <v>41.648620000000001</v>
      </c>
      <c r="AH70" s="79">
        <f>IF('📇 INVENTARIO'!P71="","",'📇 INVENTARIO'!P71)</f>
        <v>-4.7092700000000001</v>
      </c>
    </row>
    <row r="71" spans="1:34" ht="45" customHeight="1">
      <c r="A71" s="69">
        <f>IF($C71="","",RANK(O71,$O$3:$O$265,0)+COUNTIF($O$3:O71,O71)-1)</f>
        <v>69</v>
      </c>
      <c r="B71" s="70" t="str">
        <f>IF($C71="","",IF(A71&lt;='⚙️ SUPUESTOS'!$C$29,"Fase 1",IF(A71&lt;='⚙️ SUPUESTOS'!$C$30,"Fase 2","Fase 3")))</f>
        <v>Fase 2</v>
      </c>
      <c r="C71" s="71" t="str">
        <f>IF('📇 INVENTARIO'!B71="","",'📇 INVENTARIO'!B71)</f>
        <v>C/ Águila, 16</v>
      </c>
      <c r="D71" s="70" t="str">
        <f>IF('📇 INVENTARIO'!C71="","",'📇 INVENTARIO'!C71)</f>
        <v>7824517UM5172D</v>
      </c>
      <c r="E71" s="70" t="str">
        <f>IF('📇 INVENTARIO'!D71="","",'📇 INVENTARIO'!D71)</f>
        <v>4718606026</v>
      </c>
      <c r="F71" s="70" t="str">
        <f>IF('📇 INVENTARIO'!F71="","",'📇 INVENTARIO'!F71)</f>
        <v>D</v>
      </c>
      <c r="G71" s="72">
        <f>IF('📇 INVENTARIO'!G71="","",'📇 INVENTARIO'!G71)</f>
        <v>194</v>
      </c>
      <c r="H71" s="72">
        <f>IF('📇 INVENTARIO'!H71="","",'📇 INVENTARIO'!H71)</f>
        <v>41</v>
      </c>
      <c r="I71" s="72">
        <f>IF('📇 INVENTARIO'!I71="","",'📇 INVENTARIO'!I71)</f>
        <v>50.2</v>
      </c>
      <c r="J71" s="72">
        <f>IF('📇 INVENTARIO'!J71="","",'📇 INVENTARIO'!J71)</f>
        <v>1965</v>
      </c>
      <c r="K71" s="73">
        <f>IF($C71="","",(G71-'⚙️ SUPUESTOS'!$C$20)/('⚙️ SUPUESTOS'!$C$25-'⚙️ SUPUESTOS'!$C$20))</f>
        <v>8.7779690189328741E-2</v>
      </c>
      <c r="L71" s="73">
        <f>IF($C71="","",VLOOKUP($E71,'📊 SECCIONES'!$B$4:$S$9,16,FALSE()))</f>
        <v>1</v>
      </c>
      <c r="M71" s="73">
        <f>IF($C71="","",VLOOKUP($E71,'📊 SECCIONES'!$B$4:$S$9,17,FALSE()))</f>
        <v>1</v>
      </c>
      <c r="N71" s="73">
        <f>IF($C71="","",VLOOKUP($E71,'📊 SECCIONES'!$B$4:$S$9,18,FALSE()))</f>
        <v>0</v>
      </c>
      <c r="O71" s="74">
        <f>IF($C71="","",ROUND('⚙️ SUPUESTOS'!$C$21*K71+'⚙️ SUPUESTOS'!$C$22*L71+'⚙️ SUPUESTOS'!$C$23*M71+'⚙️ SUPUESTOS'!$C$24*N71,4))</f>
        <v>0.4083</v>
      </c>
      <c r="P71" s="75">
        <f>IF($C71="","",VLOOKUP($E71,'📊 SECCIONES'!$B$4:$S$9,7,FALSE()))</f>
        <v>66.510000000000005</v>
      </c>
      <c r="Q71" s="76">
        <f>IF($C71="","",VLOOKUP($E71,'📊 SECCIONES'!$B$4:$S$9,8,FALSE()))</f>
        <v>17450</v>
      </c>
      <c r="R71" s="75">
        <f>IF($C71="","",VLOOKUP($E71,'📊 SECCIONES'!$B$4:$S$9,10,FALSE()))</f>
        <v>10.6</v>
      </c>
      <c r="S71" s="72">
        <f>IF('📇 INVENTARIO'!K71="","",'📇 INVENTARIO'!K71)</f>
        <v>3</v>
      </c>
      <c r="T71" s="77" t="str">
        <f t="shared" si="4"/>
        <v>Objetivo: alcanzar calificación C. Actual: Cal.D. Mantenimiento de envolvente + instalación fotovoltaica en cubierta</v>
      </c>
      <c r="U71" s="70" t="str">
        <f t="shared" si="5"/>
        <v>—</v>
      </c>
      <c r="V71" s="78">
        <f>IF('📇 INVENTARIO'!L71="","",'📇 INVENTARIO'!L71)</f>
        <v>111.3</v>
      </c>
      <c r="W71" s="75">
        <f>IF($C71="","",V71*'⚙️ SUPUESTOS'!$C$8*'⚙️ SUPUESTOS'!$C$9)</f>
        <v>23.372999999999998</v>
      </c>
      <c r="X71" s="78">
        <f>IF('📇 INVENTARIO'!N71="","",'📇 INVENTARIO'!N71)</f>
        <v>1503</v>
      </c>
      <c r="Y71" s="78">
        <f>IF($C71="","",W71*X71*'⚙️ SUPUESTOS'!$C$7)</f>
        <v>31616.6571</v>
      </c>
      <c r="Z71" s="76">
        <f>IF($C71="","",W71*'⚙️ SUPUESTOS'!$C$10)</f>
        <v>31202.954999999998</v>
      </c>
      <c r="AA71" s="76">
        <f>IF($C71="","",Y71*('⚙️ SUPUESTOS'!$C$12*'⚙️ SUPUESTOS'!$C$11+(1-'⚙️ SUPUESTOS'!$C$12)*'⚙️ SUPUESTOS'!$C$13))</f>
        <v>2156.2560142200005</v>
      </c>
      <c r="AB71" s="76">
        <f>IF($C71="","",IF(Y71&gt;0,ROUND(Y71*'⚙️ SUPUESTOS'!$C$12*'⚙️ SUPUESTOS'!$C$11,0),""))</f>
        <v>790</v>
      </c>
      <c r="AC71" s="76">
        <f>IF($C71="","",IF(Y71&gt;0,ROUND(Y71*(1-'⚙️ SUPUESTOS'!$C$12)*'⚙️ SUPUESTOS'!$C$13,0),""))</f>
        <v>1366</v>
      </c>
      <c r="AD71" s="65">
        <f t="shared" si="6"/>
        <v>22703</v>
      </c>
      <c r="AE71" s="64">
        <f t="shared" si="7"/>
        <v>14.470895289902433</v>
      </c>
      <c r="AF71" s="59" t="str">
        <f>IF($C71="","",IF(AE71="","—",IF(AE71&lt;='⚙️ SUPUESTOS'!$C$32,"✔ Muy recomendable",IF(AE71&lt;='⚙️ SUPUESTOS'!$C$33,"✔ Recomendable","Valorar"))))</f>
        <v>✔ Muy recomendable</v>
      </c>
      <c r="AG71" s="68">
        <f>IF('📇 INVENTARIO'!O72="","",'📇 INVENTARIO'!O72)</f>
        <v>41.649590000000003</v>
      </c>
      <c r="AH71" s="68">
        <f>IF('📇 INVENTARIO'!P72="","",'📇 INVENTARIO'!P72)</f>
        <v>-4.7087399999999997</v>
      </c>
    </row>
    <row r="72" spans="1:34" ht="45" customHeight="1">
      <c r="A72" s="58">
        <f>IF($C72="","",RANK(O72,$O$3:$O$265,0)+COUNTIF($O$3:O72,O72)-1)</f>
        <v>70</v>
      </c>
      <c r="B72" s="59" t="str">
        <f>IF($C72="","",IF(A72&lt;='⚙️ SUPUESTOS'!$C$29,"Fase 1",IF(A72&lt;='⚙️ SUPUESTOS'!$C$30,"Fase 2","Fase 3")))</f>
        <v>Fase 2</v>
      </c>
      <c r="C72" s="60" t="str">
        <f>IF('📇 INVENTARIO'!B74="","",'📇 INVENTARIO'!B74)</f>
        <v>C/ Martín Pescador, 2</v>
      </c>
      <c r="D72" s="59" t="str">
        <f>IF('📇 INVENTARIO'!C74="","",'📇 INVENTARIO'!C74)</f>
        <v>7623802UM5172D</v>
      </c>
      <c r="E72" s="59" t="str">
        <f>IF('📇 INVENTARIO'!D74="","",'📇 INVENTARIO'!D74)</f>
        <v>4718606027</v>
      </c>
      <c r="F72" s="59" t="str">
        <f>IF('📇 INVENTARIO'!F74="","",'📇 INVENTARIO'!F74)</f>
        <v>G</v>
      </c>
      <c r="G72" s="61">
        <f>IF('📇 INVENTARIO'!G74="","",'📇 INVENTARIO'!G74)</f>
        <v>393</v>
      </c>
      <c r="H72" s="61">
        <f>IF('📇 INVENTARIO'!H74="","",'📇 INVENTARIO'!H74)</f>
        <v>81.5</v>
      </c>
      <c r="I72" s="61">
        <f>IF('📇 INVENTARIO'!I74="","",'📇 INVENTARIO'!I74)</f>
        <v>223.6</v>
      </c>
      <c r="J72" s="61">
        <f>IF('📇 INVENTARIO'!J74="","",'📇 INVENTARIO'!J74)</f>
        <v>1969</v>
      </c>
      <c r="K72" s="62">
        <f>IF($C72="","",(G72-'⚙️ SUPUESTOS'!$C$20)/('⚙️ SUPUESTOS'!$C$25-'⚙️ SUPUESTOS'!$C$20))</f>
        <v>0.43029259896729777</v>
      </c>
      <c r="L72" s="62">
        <f>IF($C72="","",VLOOKUP($E72,'📊 SECCIONES'!$B$4:$S$9,16,FALSE()))</f>
        <v>0.19481959841367916</v>
      </c>
      <c r="M72" s="62">
        <f>IF($C72="","",VLOOKUP($E72,'📊 SECCIONES'!$B$4:$S$9,17,FALSE()))</f>
        <v>0.2663212435233161</v>
      </c>
      <c r="N72" s="62">
        <f>IF($C72="","",VLOOKUP($E72,'📊 SECCIONES'!$B$4:$S$9,18,FALSE()))</f>
        <v>1</v>
      </c>
      <c r="O72" s="63">
        <f>IF($C72="","",ROUND('⚙️ SUPUESTOS'!$C$21*K72+'⚙️ SUPUESTOS'!$C$22*L72+'⚙️ SUPUESTOS'!$C$23*M72+'⚙️ SUPUESTOS'!$C$24*N72,4))</f>
        <v>0.40679999999999999</v>
      </c>
      <c r="P72" s="64">
        <f>IF($C72="","",VLOOKUP($E72,'📊 SECCIONES'!$B$4:$S$9,7,FALSE()))</f>
        <v>24.5</v>
      </c>
      <c r="Q72" s="65">
        <f>IF($C72="","",VLOOKUP($E72,'📊 SECCIONES'!$B$4:$S$9,8,FALSE()))</f>
        <v>25206</v>
      </c>
      <c r="R72" s="64">
        <f>IF($C72="","",VLOOKUP($E72,'📊 SECCIONES'!$B$4:$S$9,10,FALSE()))</f>
        <v>32.6</v>
      </c>
      <c r="S72" s="61">
        <f>IF('📇 INVENTARIO'!K74="","",'📇 INVENTARIO'!K74)</f>
        <v>6</v>
      </c>
      <c r="T72" s="66" t="str">
        <f t="shared" si="4"/>
        <v>Objetivo: alcanzar calificación C. Actual: Cal.G. SATE integral + cubierta + carpinterías triple + aerotermia + instalación fotovoltaica</v>
      </c>
      <c r="U72" s="59" t="str">
        <f t="shared" si="5"/>
        <v>Valorar ascensor (verificar)</v>
      </c>
      <c r="V72" s="67">
        <f>IF('📇 INVENTARIO'!L74="","",'📇 INVENTARIO'!L74)</f>
        <v>271.8</v>
      </c>
      <c r="W72" s="64">
        <f>IF($C72="","",V72*'⚙️ SUPUESTOS'!$C$8*'⚙️ SUPUESTOS'!$C$9)</f>
        <v>57.078000000000003</v>
      </c>
      <c r="X72" s="67">
        <f>IF('📇 INVENTARIO'!N74="","",'📇 INVENTARIO'!N74)</f>
        <v>1426</v>
      </c>
      <c r="Y72" s="67">
        <f>IF($C72="","",W72*X72*'⚙️ SUPUESTOS'!$C$7)</f>
        <v>73253.905200000008</v>
      </c>
      <c r="Z72" s="65">
        <f>IF($C72="","",W72*'⚙️ SUPUESTOS'!$C$10)</f>
        <v>76199.13</v>
      </c>
      <c r="AA72" s="65">
        <f>IF($C72="","",Y72*('⚙️ SUPUESTOS'!$C$12*'⚙️ SUPUESTOS'!$C$11+(1-'⚙️ SUPUESTOS'!$C$12)*'⚙️ SUPUESTOS'!$C$13))</f>
        <v>4995.916334640001</v>
      </c>
      <c r="AB72" s="65">
        <f>IF($C72="","",IF(Y72&gt;0,ROUND(Y72*'⚙️ SUPUESTOS'!$C$12*'⚙️ SUPUESTOS'!$C$11,0),""))</f>
        <v>1831</v>
      </c>
      <c r="AC72" s="65">
        <f>IF($C72="","",IF(Y72&gt;0,ROUND(Y72*(1-'⚙️ SUPUESTOS'!$C$12)*'⚙️ SUPUESTOS'!$C$13,0),""))</f>
        <v>3165</v>
      </c>
      <c r="AD72" s="76">
        <f t="shared" si="6"/>
        <v>48699</v>
      </c>
      <c r="AE72" s="75">
        <f t="shared" si="7"/>
        <v>15.252283043985527</v>
      </c>
      <c r="AF72" s="70" t="str">
        <f>IF($C72="","",IF(AE72="","—",IF(AE72&lt;='⚙️ SUPUESTOS'!$C$32,"✔ Muy recomendable",IF(AE72&lt;='⚙️ SUPUESTOS'!$C$33,"✔ Recomendable","Valorar"))))</f>
        <v>✔ Recomendable</v>
      </c>
      <c r="AG72" s="79">
        <f>IF('📇 INVENTARIO'!O73="","",'📇 INVENTARIO'!O73)</f>
        <v>41.64866</v>
      </c>
      <c r="AH72" s="79">
        <f>IF('📇 INVENTARIO'!P73="","",'📇 INVENTARIO'!P73)</f>
        <v>-4.7086699999999997</v>
      </c>
    </row>
    <row r="73" spans="1:34" ht="45" customHeight="1">
      <c r="A73" s="69">
        <f>IF($C73="","",RANK(O73,$O$3:$O$265,0)+COUNTIF($O$3:O73,O73)-1)</f>
        <v>71</v>
      </c>
      <c r="B73" s="70" t="str">
        <f>IF($C73="","",IF(A73&lt;='⚙️ SUPUESTOS'!$C$29,"Fase 1",IF(A73&lt;='⚙️ SUPUESTOS'!$C$30,"Fase 2","Fase 3")))</f>
        <v>Fase 2</v>
      </c>
      <c r="C73" s="71" t="str">
        <f>IF('📇 INVENTARIO'!B75="","",'📇 INVENTARIO'!B75)</f>
        <v>C/ Villabáñez, 7</v>
      </c>
      <c r="D73" s="70" t="str">
        <f>IF('📇 INVENTARIO'!C75="","",'📇 INVENTARIO'!C75)</f>
        <v>7825708UM5172F</v>
      </c>
      <c r="E73" s="70" t="str">
        <f>IF('📇 INVENTARIO'!D75="","",'📇 INVENTARIO'!D75)</f>
        <v>4718606023</v>
      </c>
      <c r="F73" s="70" t="str">
        <f>IF('📇 INVENTARIO'!F75="","",'📇 INVENTARIO'!F75)</f>
        <v>F</v>
      </c>
      <c r="G73" s="72">
        <f>IF('📇 INVENTARIO'!G75="","",'📇 INVENTARIO'!G75)</f>
        <v>326</v>
      </c>
      <c r="H73" s="72">
        <f>IF('📇 INVENTARIO'!H75="","",'📇 INVENTARIO'!H75)</f>
        <v>68</v>
      </c>
      <c r="I73" s="72">
        <f>IF('📇 INVENTARIO'!I75="","",'📇 INVENTARIO'!I75)</f>
        <v>142.6</v>
      </c>
      <c r="J73" s="72">
        <f>IF('📇 INVENTARIO'!J75="","",'📇 INVENTARIO'!J75)</f>
        <v>1962</v>
      </c>
      <c r="K73" s="73">
        <f>IF($C73="","",(G73-'⚙️ SUPUESTOS'!$C$20)/('⚙️ SUPUESTOS'!$C$25-'⚙️ SUPUESTOS'!$C$20))</f>
        <v>0.31497418244406195</v>
      </c>
      <c r="L73" s="73">
        <f>IF($C73="","",VLOOKUP($E73,'📊 SECCIONES'!$B$4:$S$9,16,FALSE()))</f>
        <v>0.54128061278831963</v>
      </c>
      <c r="M73" s="73">
        <f>IF($C73="","",VLOOKUP($E73,'📊 SECCIONES'!$B$4:$S$9,17,FALSE()))</f>
        <v>0.59585492227979275</v>
      </c>
      <c r="N73" s="73">
        <f>IF($C73="","",VLOOKUP($E73,'📊 SECCIONES'!$B$4:$S$9,18,FALSE()))</f>
        <v>0.28636363636363632</v>
      </c>
      <c r="O73" s="74">
        <f>IF($C73="","",ROUND('⚙️ SUPUESTOS'!$C$21*K73+'⚙️ SUPUESTOS'!$C$22*L73+'⚙️ SUPUESTOS'!$C$23*M73+'⚙️ SUPUESTOS'!$C$24*N73,4))</f>
        <v>0.40150000000000002</v>
      </c>
      <c r="P73" s="75">
        <f>IF($C73="","",VLOOKUP($E73,'📊 SECCIONES'!$B$4:$S$9,7,FALSE()))</f>
        <v>39.409999999999997</v>
      </c>
      <c r="Q73" s="76">
        <f>IF($C73="","",VLOOKUP($E73,'📊 SECCIONES'!$B$4:$S$9,8,FALSE()))</f>
        <v>22486</v>
      </c>
      <c r="R73" s="75">
        <f>IF($C73="","",VLOOKUP($E73,'📊 SECCIONES'!$B$4:$S$9,10,FALSE()))</f>
        <v>16.899999999999999</v>
      </c>
      <c r="S73" s="72">
        <f>IF('📇 INVENTARIO'!K75="","",'📇 INVENTARIO'!K75)</f>
        <v>4</v>
      </c>
      <c r="T73" s="77" t="str">
        <f t="shared" si="4"/>
        <v>Objetivo: alcanzar calificación C. Actual: Cal.F. SATE integral + cubierta + carpinterías triple + aerotermia + instalación fotovoltaica</v>
      </c>
      <c r="U73" s="70" t="str">
        <f t="shared" si="5"/>
        <v>Valorar ascensor (verificar)</v>
      </c>
      <c r="V73" s="78">
        <f>IF('📇 INVENTARIO'!L75="","",'📇 INVENTARIO'!L75)</f>
        <v>229.5</v>
      </c>
      <c r="W73" s="75">
        <f>IF($C73="","",V73*'⚙️ SUPUESTOS'!$C$8*'⚙️ SUPUESTOS'!$C$9)</f>
        <v>48.195</v>
      </c>
      <c r="X73" s="78">
        <f>IF('📇 INVENTARIO'!N75="","",'📇 INVENTARIO'!N75)</f>
        <v>1283</v>
      </c>
      <c r="Y73" s="78">
        <f>IF($C73="","",W73*X73*'⚙️ SUPUESTOS'!$C$7)</f>
        <v>55650.766499999998</v>
      </c>
      <c r="Z73" s="76">
        <f>IF($C73="","",W73*'⚙️ SUPUESTOS'!$C$10)</f>
        <v>64340.324999999997</v>
      </c>
      <c r="AA73" s="76">
        <f>IF($C73="","",Y73*('⚙️ SUPUESTOS'!$C$12*'⚙️ SUPUESTOS'!$C$11+(1-'⚙️ SUPUESTOS'!$C$12)*'⚙️ SUPUESTOS'!$C$13))</f>
        <v>3795.3822753000004</v>
      </c>
      <c r="AB73" s="76">
        <f>IF($C73="","",IF(Y73&gt;0,ROUND(Y73*'⚙️ SUPUESTOS'!$C$12*'⚙️ SUPUESTOS'!$C$11,0),""))</f>
        <v>1391</v>
      </c>
      <c r="AC73" s="76">
        <f>IF($C73="","",IF(Y73&gt;0,ROUND(Y73*(1-'⚙️ SUPUESTOS'!$C$12)*'⚙️ SUPUESTOS'!$C$13,0),""))</f>
        <v>2404</v>
      </c>
      <c r="AD73" s="65">
        <f t="shared" si="6"/>
        <v>30544</v>
      </c>
      <c r="AE73" s="64">
        <f t="shared" si="7"/>
        <v>16.952264708280094</v>
      </c>
      <c r="AF73" s="59" t="str">
        <f>IF($C73="","",IF(AE73="","—",IF(AE73&lt;='⚙️ SUPUESTOS'!$C$32,"✔ Muy recomendable",IF(AE73&lt;='⚙️ SUPUESTOS'!$C$33,"✔ Recomendable","Valorar"))))</f>
        <v>Valorar</v>
      </c>
      <c r="AG73" s="68">
        <f>IF('📇 INVENTARIO'!O74="","",'📇 INVENTARIO'!O74)</f>
        <v>41.648479999999999</v>
      </c>
      <c r="AH73" s="68">
        <f>IF('📇 INVENTARIO'!P74="","",'📇 INVENTARIO'!P74)</f>
        <v>-4.7117800000000001</v>
      </c>
    </row>
    <row r="74" spans="1:34" ht="45" customHeight="1">
      <c r="A74" s="69">
        <f>IF($C74="","",RANK(O74,$O$3:$O$265,0)+COUNTIF($O$3:O74,O74)-1)</f>
        <v>72</v>
      </c>
      <c r="B74" s="70" t="str">
        <f>IF($C74="","",IF(A74&lt;='⚙️ SUPUESTOS'!$C$29,"Fase 1",IF(A74&lt;='⚙️ SUPUESTOS'!$C$30,"Fase 2","Fase 3")))</f>
        <v>Fase 2</v>
      </c>
      <c r="C74" s="71" t="str">
        <f>IF('📇 INVENTARIO'!B73="","",'📇 INVENTARIO'!B73)</f>
        <v>C/ Cigüeña, 43</v>
      </c>
      <c r="D74" s="70" t="str">
        <f>IF('📇 INVENTARIO'!C73="","",'📇 INVENTARIO'!C73)</f>
        <v>7824504UM5172D</v>
      </c>
      <c r="E74" s="70" t="str">
        <f>IF('📇 INVENTARIO'!D73="","",'📇 INVENTARIO'!D73)</f>
        <v>4718606026</v>
      </c>
      <c r="F74" s="70" t="str">
        <f>IF('📇 INVENTARIO'!F73="","",'📇 INVENTARIO'!F73)</f>
        <v>E</v>
      </c>
      <c r="G74" s="72">
        <f>IF('📇 INVENTARIO'!G73="","",'📇 INVENTARIO'!G73)</f>
        <v>184</v>
      </c>
      <c r="H74" s="72">
        <f>IF('📇 INVENTARIO'!H73="","",'📇 INVENTARIO'!H73)</f>
        <v>38</v>
      </c>
      <c r="I74" s="72">
        <f>IF('📇 INVENTARIO'!I73="","",'📇 INVENTARIO'!I73)</f>
        <v>87.8</v>
      </c>
      <c r="J74" s="72">
        <f>IF('📇 INVENTARIO'!J73="","",'📇 INVENTARIO'!J73)</f>
        <v>1965</v>
      </c>
      <c r="K74" s="73">
        <f>IF($C74="","",(G74-'⚙️ SUPUESTOS'!$C$20)/('⚙️ SUPUESTOS'!$C$25-'⚙️ SUPUESTOS'!$C$20))</f>
        <v>7.0567986230636828E-2</v>
      </c>
      <c r="L74" s="73">
        <f>IF($C74="","",VLOOKUP($E74,'📊 SECCIONES'!$B$4:$S$9,16,FALSE()))</f>
        <v>1</v>
      </c>
      <c r="M74" s="73">
        <f>IF($C74="","",VLOOKUP($E74,'📊 SECCIONES'!$B$4:$S$9,17,FALSE()))</f>
        <v>1</v>
      </c>
      <c r="N74" s="73">
        <f>IF($C74="","",VLOOKUP($E74,'📊 SECCIONES'!$B$4:$S$9,18,FALSE()))</f>
        <v>0</v>
      </c>
      <c r="O74" s="74">
        <f>IF($C74="","",ROUND('⚙️ SUPUESTOS'!$C$21*K74+'⚙️ SUPUESTOS'!$C$22*L74+'⚙️ SUPUESTOS'!$C$23*M74+'⚙️ SUPUESTOS'!$C$24*N74,4))</f>
        <v>0.39879999999999999</v>
      </c>
      <c r="P74" s="75">
        <f>IF($C74="","",VLOOKUP($E74,'📊 SECCIONES'!$B$4:$S$9,7,FALSE()))</f>
        <v>66.510000000000005</v>
      </c>
      <c r="Q74" s="76">
        <f>IF($C74="","",VLOOKUP($E74,'📊 SECCIONES'!$B$4:$S$9,8,FALSE()))</f>
        <v>17450</v>
      </c>
      <c r="R74" s="75">
        <f>IF($C74="","",VLOOKUP($E74,'📊 SECCIONES'!$B$4:$S$9,10,FALSE()))</f>
        <v>10.6</v>
      </c>
      <c r="S74" s="72">
        <f>IF('📇 INVENTARIO'!K73="","",'📇 INVENTARIO'!K73)</f>
        <v>3</v>
      </c>
      <c r="T74" s="77" t="str">
        <f t="shared" si="4"/>
        <v>Objetivo: alcanzar calificación C. Actual: Cal.E. SATE fachada + carpinterías doble + instalación fotovoltaica</v>
      </c>
      <c r="U74" s="70" t="str">
        <f t="shared" si="5"/>
        <v>—</v>
      </c>
      <c r="V74" s="78">
        <f>IF('📇 INVENTARIO'!L73="","",'📇 INVENTARIO'!L73)</f>
        <v>96.9</v>
      </c>
      <c r="W74" s="75">
        <f>IF($C74="","",V74*'⚙️ SUPUESTOS'!$C$8*'⚙️ SUPUESTOS'!$C$9)</f>
        <v>20.349</v>
      </c>
      <c r="X74" s="78">
        <f>IF('📇 INVENTARIO'!N73="","",'📇 INVENTARIO'!N73)</f>
        <v>1458</v>
      </c>
      <c r="Y74" s="78">
        <f>IF($C74="","",W74*X74*'⚙️ SUPUESTOS'!$C$7)</f>
        <v>26701.9578</v>
      </c>
      <c r="Z74" s="76">
        <f>IF($C74="","",W74*'⚙️ SUPUESTOS'!$C$10)</f>
        <v>27165.915000000001</v>
      </c>
      <c r="AA74" s="76">
        <f>IF($C74="","",Y74*('⚙️ SUPUESTOS'!$C$12*'⚙️ SUPUESTOS'!$C$11+(1-'⚙️ SUPUESTOS'!$C$12)*'⚙️ SUPUESTOS'!$C$13))</f>
        <v>1821.0735219600003</v>
      </c>
      <c r="AB74" s="76">
        <f>IF($C74="","",IF(Y74&gt;0,ROUND(Y74*'⚙️ SUPUESTOS'!$C$12*'⚙️ SUPUESTOS'!$C$11,0),""))</f>
        <v>668</v>
      </c>
      <c r="AC74" s="76">
        <f>IF($C74="","",IF(Y74&gt;0,ROUND(Y74*(1-'⚙️ SUPUESTOS'!$C$12)*'⚙️ SUPUESTOS'!$C$13,0),""))</f>
        <v>1154</v>
      </c>
      <c r="AD74" s="76">
        <f t="shared" si="6"/>
        <v>18361</v>
      </c>
      <c r="AE74" s="75">
        <f t="shared" si="7"/>
        <v>14.917527860578435</v>
      </c>
      <c r="AF74" s="70" t="str">
        <f>IF($C74="","",IF(AE74="","—",IF(AE74&lt;='⚙️ SUPUESTOS'!$C$32,"✔ Muy recomendable",IF(AE74&lt;='⚙️ SUPUESTOS'!$C$33,"✔ Recomendable","Valorar"))))</f>
        <v>✔ Muy recomendable</v>
      </c>
      <c r="AG74" s="79">
        <f>IF('📇 INVENTARIO'!O75="","",'📇 INVENTARIO'!O75)</f>
        <v>41.64978</v>
      </c>
      <c r="AH74" s="79">
        <f>IF('📇 INVENTARIO'!P75="","",'📇 INVENTARIO'!P75)</f>
        <v>-4.7101199999999999</v>
      </c>
    </row>
    <row r="75" spans="1:34" ht="45" customHeight="1">
      <c r="A75" s="58">
        <f>IF($C75="","",RANK(O75,$O$3:$O$265,0)+COUNTIF($O$3:O75,O75)-1)</f>
        <v>73</v>
      </c>
      <c r="B75" s="59" t="str">
        <f>IF($C75="","",IF(A75&lt;='⚙️ SUPUESTOS'!$C$29,"Fase 1",IF(A75&lt;='⚙️ SUPUESTOS'!$C$30,"Fase 2","Fase 3")))</f>
        <v>Fase 2</v>
      </c>
      <c r="C75" s="60" t="str">
        <f>IF('📇 INVENTARIO'!B76="","",'📇 INVENTARIO'!B76)</f>
        <v>C/ Milano, 3</v>
      </c>
      <c r="D75" s="59" t="str">
        <f>IF('📇 INVENTARIO'!C76="","",'📇 INVENTARIO'!C76)</f>
        <v>7924202UM5172D</v>
      </c>
      <c r="E75" s="59" t="str">
        <f>IF('📇 INVENTARIO'!D76="","",'📇 INVENTARIO'!D76)</f>
        <v>4718606024</v>
      </c>
      <c r="F75" s="59" t="str">
        <f>IF('📇 INVENTARIO'!F76="","",'📇 INVENTARIO'!F76)</f>
        <v>G</v>
      </c>
      <c r="G75" s="61">
        <f>IF('📇 INVENTARIO'!G76="","",'📇 INVENTARIO'!G76)</f>
        <v>429</v>
      </c>
      <c r="H75" s="61">
        <f>IF('📇 INVENTARIO'!H76="","",'📇 INVENTARIO'!H76)</f>
        <v>86.5</v>
      </c>
      <c r="I75" s="61">
        <f>IF('📇 INVENTARIO'!I76="","",'📇 INVENTARIO'!I76)</f>
        <v>186</v>
      </c>
      <c r="J75" s="61">
        <f>IF('📇 INVENTARIO'!J76="","",'📇 INVENTARIO'!J76)</f>
        <v>1965</v>
      </c>
      <c r="K75" s="62">
        <f>IF($C75="","",(G75-'⚙️ SUPUESTOS'!$C$20)/('⚙️ SUPUESTOS'!$C$25-'⚙️ SUPUESTOS'!$C$20))</f>
        <v>0.49225473321858865</v>
      </c>
      <c r="L75" s="62">
        <f>IF($C75="","",VLOOKUP($E75,'📊 SECCIONES'!$B$4:$S$9,16,FALSE()))</f>
        <v>0.13391192517993736</v>
      </c>
      <c r="M75" s="62">
        <f>IF($C75="","",VLOOKUP($E75,'📊 SECCIONES'!$B$4:$S$9,17,FALSE()))</f>
        <v>0.16476683937823833</v>
      </c>
      <c r="N75" s="62">
        <f>IF($C75="","",VLOOKUP($E75,'📊 SECCIONES'!$B$4:$S$9,18,FALSE()))</f>
        <v>0.79545454545454541</v>
      </c>
      <c r="O75" s="63">
        <f>IF($C75="","",ROUND('⚙️ SUPUESTOS'!$C$21*K75+'⚙️ SUPUESTOS'!$C$22*L75+'⚙️ SUPUESTOS'!$C$23*M75+'⚙️ SUPUESTOS'!$C$24*N75,4))</f>
        <v>0.39489999999999997</v>
      </c>
      <c r="P75" s="64">
        <f>IF($C75="","",VLOOKUP($E75,'📊 SECCIONES'!$B$4:$S$9,7,FALSE()))</f>
        <v>30.06</v>
      </c>
      <c r="Q75" s="65">
        <f>IF($C75="","",VLOOKUP($E75,'📊 SECCIONES'!$B$4:$S$9,8,FALSE()))</f>
        <v>25132</v>
      </c>
      <c r="R75" s="64">
        <f>IF($C75="","",VLOOKUP($E75,'📊 SECCIONES'!$B$4:$S$9,10,FALSE()))</f>
        <v>28.1</v>
      </c>
      <c r="S75" s="61">
        <f>IF('📇 INVENTARIO'!K76="","",'📇 INVENTARIO'!K76)</f>
        <v>3</v>
      </c>
      <c r="T75" s="66" t="str">
        <f t="shared" si="4"/>
        <v>Objetivo: alcanzar calificación C. Actual: Cal.G. SATE integral + cubierta + carpinterías triple + aerotermia + instalación fotovoltaica</v>
      </c>
      <c r="U75" s="59" t="str">
        <f t="shared" si="5"/>
        <v>—</v>
      </c>
      <c r="V75" s="67">
        <f>IF('📇 INVENTARIO'!L76="","",'📇 INVENTARIO'!L76)</f>
        <v>48.2</v>
      </c>
      <c r="W75" s="64">
        <f>IF($C75="","",V75*'⚙️ SUPUESTOS'!$C$8*'⚙️ SUPUESTOS'!$C$9)</f>
        <v>10.122</v>
      </c>
      <c r="X75" s="67">
        <f>IF('📇 INVENTARIO'!N76="","",'📇 INVENTARIO'!N76)</f>
        <v>1409</v>
      </c>
      <c r="Y75" s="67">
        <f>IF($C75="","",W75*X75*'⚙️ SUPUESTOS'!$C$7)</f>
        <v>12835.708199999999</v>
      </c>
      <c r="Z75" s="65">
        <f>IF($C75="","",W75*'⚙️ SUPUESTOS'!$C$10)</f>
        <v>13512.869999999999</v>
      </c>
      <c r="AA75" s="65">
        <f>IF($C75="","",Y75*('⚙️ SUPUESTOS'!$C$12*'⚙️ SUPUESTOS'!$C$11+(1-'⚙️ SUPUESTOS'!$C$12)*'⚙️ SUPUESTOS'!$C$13))</f>
        <v>875.3952992400001</v>
      </c>
      <c r="AB75" s="65">
        <f>IF($C75="","",IF(Y75&gt;0,ROUND(Y75*'⚙️ SUPUESTOS'!$C$12*'⚙️ SUPUESTOS'!$C$11,0),""))</f>
        <v>321</v>
      </c>
      <c r="AC75" s="65">
        <f>IF($C75="","",IF(Y75&gt;0,ROUND(Y75*(1-'⚙️ SUPUESTOS'!$C$12)*'⚙️ SUPUESTOS'!$C$13,0),""))</f>
        <v>555</v>
      </c>
      <c r="AD75" s="65">
        <f t="shared" si="6"/>
        <v>8372</v>
      </c>
      <c r="AE75" s="64">
        <f t="shared" si="7"/>
        <v>15.436306331244399</v>
      </c>
      <c r="AF75" s="59" t="str">
        <f>IF($C75="","",IF(AE75="","—",IF(AE75&lt;='⚙️ SUPUESTOS'!$C$32,"✔ Muy recomendable",IF(AE75&lt;='⚙️ SUPUESTOS'!$C$33,"✔ Recomendable","Valorar"))))</f>
        <v>✔ Recomendable</v>
      </c>
      <c r="AG75" s="68">
        <f>IF('📇 INVENTARIO'!O76="","",'📇 INVENTARIO'!O76)</f>
        <v>41.649509999999999</v>
      </c>
      <c r="AH75" s="68">
        <f>IF('📇 INVENTARIO'!P76="","",'📇 INVENTARIO'!P76)</f>
        <v>-4.7072200000000004</v>
      </c>
    </row>
    <row r="76" spans="1:34" ht="45" customHeight="1">
      <c r="A76" s="69">
        <f>IF($C76="","",RANK(O76,$O$3:$O$265,0)+COUNTIF($O$3:O76,O76)-1)</f>
        <v>74</v>
      </c>
      <c r="B76" s="70" t="str">
        <f>IF($C76="","",IF(A76&lt;='⚙️ SUPUESTOS'!$C$29,"Fase 1",IF(A76&lt;='⚙️ SUPUESTOS'!$C$30,"Fase 2","Fase 3")))</f>
        <v>Fase 2</v>
      </c>
      <c r="C76" s="71" t="str">
        <f>IF('📇 INVENTARIO'!B77="","",'📇 INVENTARIO'!B77)</f>
        <v>C/ Cigüeña, 28</v>
      </c>
      <c r="D76" s="70" t="str">
        <f>IF('📇 INVENTARIO'!C77="","",'📇 INVENTARIO'!C77)</f>
        <v>7923011UM5172D</v>
      </c>
      <c r="E76" s="70" t="str">
        <f>IF('📇 INVENTARIO'!D77="","",'📇 INVENTARIO'!D77)</f>
        <v>4718606025</v>
      </c>
      <c r="F76" s="70" t="str">
        <f>IF('📇 INVENTARIO'!F77="","",'📇 INVENTARIO'!F77)</f>
        <v>G</v>
      </c>
      <c r="G76" s="72">
        <f>IF('📇 INVENTARIO'!G77="","",'📇 INVENTARIO'!G77)</f>
        <v>504</v>
      </c>
      <c r="H76" s="72">
        <f>IF('📇 INVENTARIO'!H77="","",'📇 INVENTARIO'!H77)</f>
        <v>106</v>
      </c>
      <c r="I76" s="72">
        <f>IF('📇 INVENTARIO'!I77="","",'📇 INVENTARIO'!I77)</f>
        <v>258.10000000000002</v>
      </c>
      <c r="J76" s="72">
        <f>IF('📇 INVENTARIO'!J77="","",'📇 INVENTARIO'!J77)</f>
        <v>1965</v>
      </c>
      <c r="K76" s="73">
        <f>IF($C76="","",(G76-'⚙️ SUPUESTOS'!$C$20)/('⚙️ SUPUESTOS'!$C$25-'⚙️ SUPUESTOS'!$C$20))</f>
        <v>0.62134251290877796</v>
      </c>
      <c r="L76" s="73">
        <f>IF($C76="","",VLOOKUP($E76,'📊 SECCIONES'!$B$4:$S$9,16,FALSE()))</f>
        <v>0</v>
      </c>
      <c r="M76" s="73">
        <f>IF($C76="","",VLOOKUP($E76,'📊 SECCIONES'!$B$4:$S$9,17,FALSE()))</f>
        <v>0</v>
      </c>
      <c r="N76" s="73">
        <f>IF($C76="","",VLOOKUP($E76,'📊 SECCIONES'!$B$4:$S$9,18,FALSE()))</f>
        <v>0.57727272727272727</v>
      </c>
      <c r="O76" s="74">
        <f>IF($C76="","",ROUND('⚙️ SUPUESTOS'!$C$21*K76+'⚙️ SUPUESTOS'!$C$22*L76+'⚙️ SUPUESTOS'!$C$23*M76+'⚙️ SUPUESTOS'!$C$24*N76,4))</f>
        <v>0.39369999999999999</v>
      </c>
      <c r="P76" s="75">
        <f>IF($C76="","",VLOOKUP($E76,'📊 SECCIONES'!$B$4:$S$9,7,FALSE()))</f>
        <v>20.3</v>
      </c>
      <c r="Q76" s="76">
        <f>IF($C76="","",VLOOKUP($E76,'📊 SECCIONES'!$B$4:$S$9,8,FALSE()))</f>
        <v>26404</v>
      </c>
      <c r="R76" s="75">
        <f>IF($C76="","",VLOOKUP($E76,'📊 SECCIONES'!$B$4:$S$9,10,FALSE()))</f>
        <v>23.3</v>
      </c>
      <c r="S76" s="72">
        <f>IF('📇 INVENTARIO'!K77="","",'📇 INVENTARIO'!K77)</f>
        <v>3</v>
      </c>
      <c r="T76" s="77" t="str">
        <f t="shared" si="4"/>
        <v>Objetivo: alcanzar calificación C. Actual: Cal.G. SATE integral + cubierta + carpinterías triple + aerotermia + instalación fotovoltaica</v>
      </c>
      <c r="U76" s="70" t="str">
        <f t="shared" si="5"/>
        <v>—</v>
      </c>
      <c r="V76" s="78">
        <f>IF('📇 INVENTARIO'!L77="","",'📇 INVENTARIO'!L77)</f>
        <v>113.7</v>
      </c>
      <c r="W76" s="75">
        <f>IF($C76="","",V76*'⚙️ SUPUESTOS'!$C$8*'⚙️ SUPUESTOS'!$C$9)</f>
        <v>23.876999999999999</v>
      </c>
      <c r="X76" s="78">
        <f>IF('📇 INVENTARIO'!N77="","",'📇 INVENTARIO'!N77)</f>
        <v>1440</v>
      </c>
      <c r="Y76" s="78">
        <f>IF($C76="","",W76*X76*'⚙️ SUPUESTOS'!$C$7)</f>
        <v>30944.591999999997</v>
      </c>
      <c r="Z76" s="76">
        <f>IF($C76="","",W76*'⚙️ SUPUESTOS'!$C$10)</f>
        <v>31875.794999999998</v>
      </c>
      <c r="AA76" s="76">
        <f>IF($C76="","",Y76*('⚙️ SUPUESTOS'!$C$12*'⚙️ SUPUESTOS'!$C$11+(1-'⚙️ SUPUESTOS'!$C$12)*'⚙️ SUPUESTOS'!$C$13))</f>
        <v>2110.4211743999999</v>
      </c>
      <c r="AB76" s="76">
        <f>IF($C76="","",IF(Y76&gt;0,ROUND(Y76*'⚙️ SUPUESTOS'!$C$12*'⚙️ SUPUESTOS'!$C$11,0),""))</f>
        <v>774</v>
      </c>
      <c r="AC76" s="76">
        <f>IF($C76="","",IF(Y76&gt;0,ROUND(Y76*(1-'⚙️ SUPUESTOS'!$C$12)*'⚙️ SUPUESTOS'!$C$13,0),""))</f>
        <v>1337</v>
      </c>
      <c r="AD76" s="76">
        <f t="shared" si="6"/>
        <v>20885</v>
      </c>
      <c r="AE76" s="75">
        <f t="shared" si="7"/>
        <v>15.103996958835669</v>
      </c>
      <c r="AF76" s="70" t="str">
        <f>IF($C76="","",IF(AE76="","—",IF(AE76&lt;='⚙️ SUPUESTOS'!$C$32,"✔ Muy recomendable",IF(AE76&lt;='⚙️ SUPUESTOS'!$C$33,"✔ Recomendable","Valorar"))))</f>
        <v>✔ Recomendable</v>
      </c>
      <c r="AG76" s="79">
        <f>IF('📇 INVENTARIO'!O77="","",'📇 INVENTARIO'!O77)</f>
        <v>41.648130000000002</v>
      </c>
      <c r="AH76" s="79">
        <f>IF('📇 INVENTARIO'!P77="","",'📇 INVENTARIO'!P77)</f>
        <v>-4.70878</v>
      </c>
    </row>
    <row r="77" spans="1:34" ht="45" customHeight="1">
      <c r="A77" s="69">
        <f>IF($C77="","",RANK(O77,$O$3:$O$265,0)+COUNTIF($O$3:O77,O77)-1)</f>
        <v>75</v>
      </c>
      <c r="B77" s="70" t="str">
        <f>IF($C77="","",IF(A77&lt;='⚙️ SUPUESTOS'!$C$29,"Fase 1",IF(A77&lt;='⚙️ SUPUESTOS'!$C$30,"Fase 2","Fase 3")))</f>
        <v>Fase 2</v>
      </c>
      <c r="C77" s="71" t="str">
        <f>IF('📇 INVENTARIO'!B79="","",'📇 INVENTARIO'!B79)</f>
        <v>C/ Cisne, 4</v>
      </c>
      <c r="D77" s="70" t="str">
        <f>IF('📇 INVENTARIO'!C79="","",'📇 INVENTARIO'!C79)</f>
        <v>7925702UM5172F</v>
      </c>
      <c r="E77" s="70" t="str">
        <f>IF('📇 INVENTARIO'!D79="","",'📇 INVENTARIO'!D79)</f>
        <v>4718606023</v>
      </c>
      <c r="F77" s="70" t="str">
        <f>IF('📇 INVENTARIO'!F79="","",'📇 INVENTARIO'!F79)</f>
        <v>F</v>
      </c>
      <c r="G77" s="72">
        <f>IF('📇 INVENTARIO'!G79="","",'📇 INVENTARIO'!G79)</f>
        <v>299</v>
      </c>
      <c r="H77" s="72">
        <f>IF('📇 INVENTARIO'!H79="","",'📇 INVENTARIO'!H79)</f>
        <v>63</v>
      </c>
      <c r="I77" s="72">
        <f>IF('📇 INVENTARIO'!I79="","",'📇 INVENTARIO'!I79)</f>
        <v>128</v>
      </c>
      <c r="J77" s="72">
        <f>IF('📇 INVENTARIO'!J79="","",'📇 INVENTARIO'!J79)</f>
        <v>1965</v>
      </c>
      <c r="K77" s="73">
        <f>IF($C77="","",(G77-'⚙️ SUPUESTOS'!$C$20)/('⚙️ SUPUESTOS'!$C$25-'⚙️ SUPUESTOS'!$C$20))</f>
        <v>0.26850258175559383</v>
      </c>
      <c r="L77" s="73">
        <f>IF($C77="","",VLOOKUP($E77,'📊 SECCIONES'!$B$4:$S$9,16,FALSE()))</f>
        <v>0.54128061278831963</v>
      </c>
      <c r="M77" s="73">
        <f>IF($C77="","",VLOOKUP($E77,'📊 SECCIONES'!$B$4:$S$9,17,FALSE()))</f>
        <v>0.59585492227979275</v>
      </c>
      <c r="N77" s="73">
        <f>IF($C77="","",VLOOKUP($E77,'📊 SECCIONES'!$B$4:$S$9,18,FALSE()))</f>
        <v>0.28636363636363632</v>
      </c>
      <c r="O77" s="74">
        <f>IF($C77="","",ROUND('⚙️ SUPUESTOS'!$C$21*K77+'⚙️ SUPUESTOS'!$C$22*L77+'⚙️ SUPUESTOS'!$C$23*M77+'⚙️ SUPUESTOS'!$C$24*N77,4))</f>
        <v>0.376</v>
      </c>
      <c r="P77" s="75">
        <f>IF($C77="","",VLOOKUP($E77,'📊 SECCIONES'!$B$4:$S$9,7,FALSE()))</f>
        <v>39.409999999999997</v>
      </c>
      <c r="Q77" s="76">
        <f>IF($C77="","",VLOOKUP($E77,'📊 SECCIONES'!$B$4:$S$9,8,FALSE()))</f>
        <v>22486</v>
      </c>
      <c r="R77" s="75">
        <f>IF($C77="","",VLOOKUP($E77,'📊 SECCIONES'!$B$4:$S$9,10,FALSE()))</f>
        <v>16.899999999999999</v>
      </c>
      <c r="S77" s="72">
        <f>IF('📇 INVENTARIO'!K79="","",'📇 INVENTARIO'!K79)</f>
        <v>3</v>
      </c>
      <c r="T77" s="77" t="str">
        <f t="shared" si="4"/>
        <v>Objetivo: alcanzar calificación C. Actual: Cal.F. SATE integral + cubierta + carpinterías triple + aerotermia + instalación fotovoltaica</v>
      </c>
      <c r="U77" s="70" t="str">
        <f t="shared" si="5"/>
        <v>—</v>
      </c>
      <c r="V77" s="78">
        <f>IF('📇 INVENTARIO'!L79="","",'📇 INVENTARIO'!L79)</f>
        <v>100.7</v>
      </c>
      <c r="W77" s="75">
        <f>IF($C77="","",V77*'⚙️ SUPUESTOS'!$C$8*'⚙️ SUPUESTOS'!$C$9)</f>
        <v>21.146999999999998</v>
      </c>
      <c r="X77" s="78">
        <f>IF('📇 INVENTARIO'!N79="","",'📇 INVENTARIO'!N79)</f>
        <v>1400</v>
      </c>
      <c r="Y77" s="78">
        <f>IF($C77="","",W77*X77*'⚙️ SUPUESTOS'!$C$7)</f>
        <v>26645.22</v>
      </c>
      <c r="Z77" s="76">
        <f>IF($C77="","",W77*'⚙️ SUPUESTOS'!$C$10)</f>
        <v>28231.244999999999</v>
      </c>
      <c r="AA77" s="76">
        <f>IF($C77="","",Y77*('⚙️ SUPUESTOS'!$C$12*'⚙️ SUPUESTOS'!$C$11+(1-'⚙️ SUPUESTOS'!$C$12)*'⚙️ SUPUESTOS'!$C$13))</f>
        <v>1817.2040040000004</v>
      </c>
      <c r="AB77" s="76">
        <f>IF($C77="","",IF(Y77&gt;0,ROUND(Y77*'⚙️ SUPUESTOS'!$C$12*'⚙️ SUPUESTOS'!$C$11,0),""))</f>
        <v>666</v>
      </c>
      <c r="AC77" s="76">
        <f>IF($C77="","",IF(Y77&gt;0,ROUND(Y77*(1-'⚙️ SUPUESTOS'!$C$12)*'⚙️ SUPUESTOS'!$C$13,0),""))</f>
        <v>1151</v>
      </c>
      <c r="AD77" s="65">
        <f t="shared" si="6"/>
        <v>17199</v>
      </c>
      <c r="AE77" s="64">
        <f t="shared" si="7"/>
        <v>15.535539729088113</v>
      </c>
      <c r="AF77" s="59" t="str">
        <f>IF($C77="","",IF(AE77="","—",IF(AE77&lt;='⚙️ SUPUESTOS'!$C$32,"✔ Muy recomendable",IF(AE77&lt;='⚙️ SUPUESTOS'!$C$33,"✔ Recomendable","Valorar"))))</f>
        <v>✔ Recomendable</v>
      </c>
      <c r="AG77" s="68">
        <f>IF('📇 INVENTARIO'!O78="","",'📇 INVENTARIO'!O78)</f>
        <v>41.648760000000003</v>
      </c>
      <c r="AH77" s="68">
        <f>IF('📇 INVENTARIO'!P78="","",'📇 INVENTARIO'!P78)</f>
        <v>-4.7091700000000003</v>
      </c>
    </row>
    <row r="78" spans="1:34" ht="45" customHeight="1">
      <c r="A78" s="69">
        <f>IF($C78="","",RANK(O78,$O$3:$O$265,0)+COUNTIF($O$3:O78,O78)-1)</f>
        <v>76</v>
      </c>
      <c r="B78" s="70" t="str">
        <f>IF($C78="","",IF(A78&lt;='⚙️ SUPUESTOS'!$C$29,"Fase 1",IF(A78&lt;='⚙️ SUPUESTOS'!$C$30,"Fase 2","Fase 3")))</f>
        <v>Fase 2</v>
      </c>
      <c r="C78" s="71" t="str">
        <f>IF('📇 INVENTARIO'!B81="","",'📇 INVENTARIO'!B81)</f>
        <v>C/ Milano, 1</v>
      </c>
      <c r="D78" s="70" t="str">
        <f>IF('📇 INVENTARIO'!C81="","",'📇 INVENTARIO'!C81)</f>
        <v>7924201UM5172D</v>
      </c>
      <c r="E78" s="70" t="str">
        <f>IF('📇 INVENTARIO'!D81="","",'📇 INVENTARIO'!D81)</f>
        <v>4718606024</v>
      </c>
      <c r="F78" s="70" t="str">
        <f>IF('📇 INVENTARIO'!F81="","",'📇 INVENTARIO'!F81)</f>
        <v>G</v>
      </c>
      <c r="G78" s="72">
        <f>IF('📇 INVENTARIO'!G81="","",'📇 INVENTARIO'!G81)</f>
        <v>404</v>
      </c>
      <c r="H78" s="72">
        <f>IF('📇 INVENTARIO'!H81="","",'📇 INVENTARIO'!H81)</f>
        <v>106</v>
      </c>
      <c r="I78" s="72">
        <f>IF('📇 INVENTARIO'!I81="","",'📇 INVENTARIO'!I81)</f>
        <v>240.5</v>
      </c>
      <c r="J78" s="72">
        <f>IF('📇 INVENTARIO'!J81="","",'📇 INVENTARIO'!J81)</f>
        <v>1965</v>
      </c>
      <c r="K78" s="73">
        <f>IF($C78="","",(G78-'⚙️ SUPUESTOS'!$C$20)/('⚙️ SUPUESTOS'!$C$25-'⚙️ SUPUESTOS'!$C$20))</f>
        <v>0.44922547332185886</v>
      </c>
      <c r="L78" s="73">
        <f>IF($C78="","",VLOOKUP($E78,'📊 SECCIONES'!$B$4:$S$9,16,FALSE()))</f>
        <v>0.13391192517993736</v>
      </c>
      <c r="M78" s="73">
        <f>IF($C78="","",VLOOKUP($E78,'📊 SECCIONES'!$B$4:$S$9,17,FALSE()))</f>
        <v>0.16476683937823833</v>
      </c>
      <c r="N78" s="73">
        <f>IF($C78="","",VLOOKUP($E78,'📊 SECCIONES'!$B$4:$S$9,18,FALSE()))</f>
        <v>0.79545454545454541</v>
      </c>
      <c r="O78" s="74">
        <f>IF($C78="","",ROUND('⚙️ SUPUESTOS'!$C$21*K78+'⚙️ SUPUESTOS'!$C$22*L78+'⚙️ SUPUESTOS'!$C$23*M78+'⚙️ SUPUESTOS'!$C$24*N78,4))</f>
        <v>0.37119999999999997</v>
      </c>
      <c r="P78" s="75">
        <f>IF($C78="","",VLOOKUP($E78,'📊 SECCIONES'!$B$4:$S$9,7,FALSE()))</f>
        <v>30.06</v>
      </c>
      <c r="Q78" s="76">
        <f>IF($C78="","",VLOOKUP($E78,'📊 SECCIONES'!$B$4:$S$9,8,FALSE()))</f>
        <v>25132</v>
      </c>
      <c r="R78" s="75">
        <f>IF($C78="","",VLOOKUP($E78,'📊 SECCIONES'!$B$4:$S$9,10,FALSE()))</f>
        <v>28.1</v>
      </c>
      <c r="S78" s="72">
        <f>IF('📇 INVENTARIO'!K81="","",'📇 INVENTARIO'!K81)</f>
        <v>3</v>
      </c>
      <c r="T78" s="77" t="str">
        <f t="shared" si="4"/>
        <v>Objetivo: alcanzar calificación C. Actual: Cal.G. SATE integral + cubierta + carpinterías triple + aerotermia + instalación fotovoltaica</v>
      </c>
      <c r="U78" s="70" t="str">
        <f t="shared" si="5"/>
        <v>—</v>
      </c>
      <c r="V78" s="78">
        <f>IF('📇 INVENTARIO'!L81="","",'📇 INVENTARIO'!L81)</f>
        <v>98.8</v>
      </c>
      <c r="W78" s="75">
        <f>IF($C78="","",V78*'⚙️ SUPUESTOS'!$C$8*'⚙️ SUPUESTOS'!$C$9)</f>
        <v>20.747999999999998</v>
      </c>
      <c r="X78" s="78">
        <f>IF('📇 INVENTARIO'!N81="","",'📇 INVENTARIO'!N81)</f>
        <v>1375</v>
      </c>
      <c r="Y78" s="78">
        <f>IF($C78="","",W78*X78*'⚙️ SUPUESTOS'!$C$7)</f>
        <v>25675.649999999998</v>
      </c>
      <c r="Z78" s="76">
        <f>IF($C78="","",W78*'⚙️ SUPUESTOS'!$C$10)</f>
        <v>27698.579999999998</v>
      </c>
      <c r="AA78" s="76">
        <f>IF($C78="","",Y78*('⚙️ SUPUESTOS'!$C$12*'⚙️ SUPUESTOS'!$C$11+(1-'⚙️ SUPUESTOS'!$C$12)*'⚙️ SUPUESTOS'!$C$13))</f>
        <v>1751.07933</v>
      </c>
      <c r="AB78" s="76">
        <f>IF($C78="","",IF(Y78&gt;0,ROUND(Y78*'⚙️ SUPUESTOS'!$C$12*'⚙️ SUPUESTOS'!$C$11,0),""))</f>
        <v>642</v>
      </c>
      <c r="AC78" s="76">
        <f>IF($C78="","",IF(Y78&gt;0,ROUND(Y78*(1-'⚙️ SUPUESTOS'!$C$12)*'⚙️ SUPUESTOS'!$C$13,0),""))</f>
        <v>1109</v>
      </c>
      <c r="AD78" s="76">
        <f t="shared" si="6"/>
        <v>16078</v>
      </c>
      <c r="AE78" s="75">
        <f t="shared" si="7"/>
        <v>15.818004087798808</v>
      </c>
      <c r="AF78" s="70" t="str">
        <f>IF($C78="","",IF(AE78="","—",IF(AE78&lt;='⚙️ SUPUESTOS'!$C$32,"✔ Muy recomendable",IF(AE78&lt;='⚙️ SUPUESTOS'!$C$33,"✔ Recomendable","Valorar"))))</f>
        <v>✔ Recomendable</v>
      </c>
      <c r="AG78" s="79">
        <f>IF('📇 INVENTARIO'!O79="","",'📇 INVENTARIO'!O79)</f>
        <v>41.650120000000001</v>
      </c>
      <c r="AH78" s="79">
        <f>IF('📇 INVENTARIO'!P79="","",'📇 INVENTARIO'!P79)</f>
        <v>-4.7086499999999996</v>
      </c>
    </row>
    <row r="79" spans="1:34" ht="45" customHeight="1">
      <c r="A79" s="58">
        <f>IF($C79="","",RANK(O79,$O$3:$O$265,0)+COUNTIF($O$3:O79,O79)-1)</f>
        <v>77</v>
      </c>
      <c r="B79" s="59" t="str">
        <f>IF($C79="","",IF(A79&lt;='⚙️ SUPUESTOS'!$C$29,"Fase 1",IF(A79&lt;='⚙️ SUPUESTOS'!$C$30,"Fase 2","Fase 3")))</f>
        <v>Fase 2</v>
      </c>
      <c r="C79" s="60" t="str">
        <f>IF('📇 INVENTARIO'!B78="","",'📇 INVENTARIO'!B78)</f>
        <v>C/ Águila, 18</v>
      </c>
      <c r="D79" s="59" t="str">
        <f>IF('📇 INVENTARIO'!C78="","",'📇 INVENTARIO'!C78)</f>
        <v>7824518UM5172D</v>
      </c>
      <c r="E79" s="59" t="str">
        <f>IF('📇 INVENTARIO'!D78="","",'📇 INVENTARIO'!D78)</f>
        <v>4718606026</v>
      </c>
      <c r="F79" s="59" t="str">
        <f>IF('📇 INVENTARIO'!F78="","",'📇 INVENTARIO'!F78)</f>
        <v>E</v>
      </c>
      <c r="G79" s="61">
        <f>IF('📇 INVENTARIO'!G78="","",'📇 INVENTARIO'!G78)</f>
        <v>154</v>
      </c>
      <c r="H79" s="61">
        <f>IF('📇 INVENTARIO'!H78="","",'📇 INVENTARIO'!H78)</f>
        <v>32</v>
      </c>
      <c r="I79" s="61">
        <f>IF('📇 INVENTARIO'!I78="","",'📇 INVENTARIO'!I78)</f>
        <v>85.4</v>
      </c>
      <c r="J79" s="61">
        <f>IF('📇 INVENTARIO'!J78="","",'📇 INVENTARIO'!J78)</f>
        <v>1965</v>
      </c>
      <c r="K79" s="62">
        <f>IF($C79="","",(G79-'⚙️ SUPUESTOS'!$C$20)/('⚙️ SUPUESTOS'!$C$25-'⚙️ SUPUESTOS'!$C$20))</f>
        <v>1.8932874354561102E-2</v>
      </c>
      <c r="L79" s="62">
        <f>IF($C79="","",VLOOKUP($E79,'📊 SECCIONES'!$B$4:$S$9,16,FALSE()))</f>
        <v>1</v>
      </c>
      <c r="M79" s="62">
        <f>IF($C79="","",VLOOKUP($E79,'📊 SECCIONES'!$B$4:$S$9,17,FALSE()))</f>
        <v>1</v>
      </c>
      <c r="N79" s="62">
        <f>IF($C79="","",VLOOKUP($E79,'📊 SECCIONES'!$B$4:$S$9,18,FALSE()))</f>
        <v>0</v>
      </c>
      <c r="O79" s="63">
        <f>IF($C79="","",ROUND('⚙️ SUPUESTOS'!$C$21*K79+'⚙️ SUPUESTOS'!$C$22*L79+'⚙️ SUPUESTOS'!$C$23*M79+'⚙️ SUPUESTOS'!$C$24*N79,4))</f>
        <v>0.37040000000000001</v>
      </c>
      <c r="P79" s="64">
        <f>IF($C79="","",VLOOKUP($E79,'📊 SECCIONES'!$B$4:$S$9,7,FALSE()))</f>
        <v>66.510000000000005</v>
      </c>
      <c r="Q79" s="65">
        <f>IF($C79="","",VLOOKUP($E79,'📊 SECCIONES'!$B$4:$S$9,8,FALSE()))</f>
        <v>17450</v>
      </c>
      <c r="R79" s="64">
        <f>IF($C79="","",VLOOKUP($E79,'📊 SECCIONES'!$B$4:$S$9,10,FALSE()))</f>
        <v>10.6</v>
      </c>
      <c r="S79" s="61">
        <f>IF('📇 INVENTARIO'!K78="","",'📇 INVENTARIO'!K78)</f>
        <v>3</v>
      </c>
      <c r="T79" s="66" t="str">
        <f t="shared" si="4"/>
        <v>Objetivo: alcanzar calificación C. Actual: Cal.E. SATE fachada + carpinterías doble + instalación fotovoltaica</v>
      </c>
      <c r="U79" s="59" t="str">
        <f t="shared" si="5"/>
        <v>—</v>
      </c>
      <c r="V79" s="67">
        <f>IF('📇 INVENTARIO'!L78="","",'📇 INVENTARIO'!L78)</f>
        <v>111.7</v>
      </c>
      <c r="W79" s="64">
        <f>IF($C79="","",V79*'⚙️ SUPUESTOS'!$C$8*'⚙️ SUPUESTOS'!$C$9)</f>
        <v>23.457000000000001</v>
      </c>
      <c r="X79" s="67">
        <f>IF('📇 INVENTARIO'!N78="","",'📇 INVENTARIO'!N78)</f>
        <v>1551</v>
      </c>
      <c r="Y79" s="67">
        <f>IF($C79="","",W79*X79*'⚙️ SUPUESTOS'!$C$7)</f>
        <v>32743.6263</v>
      </c>
      <c r="Z79" s="65">
        <f>IF($C79="","",W79*'⚙️ SUPUESTOS'!$C$10)</f>
        <v>31315.095000000001</v>
      </c>
      <c r="AA79" s="65">
        <f>IF($C79="","",Y79*('⚙️ SUPUESTOS'!$C$12*'⚙️ SUPUESTOS'!$C$11+(1-'⚙️ SUPUESTOS'!$C$12)*'⚙️ SUPUESTOS'!$C$13))</f>
        <v>2233.1153136600005</v>
      </c>
      <c r="AB79" s="65">
        <f>IF($C79="","",IF(Y79&gt;0,ROUND(Y79*'⚙️ SUPUESTOS'!$C$12*'⚙️ SUPUESTOS'!$C$11,0),""))</f>
        <v>819</v>
      </c>
      <c r="AC79" s="65">
        <f>IF($C79="","",IF(Y79&gt;0,ROUND(Y79*(1-'⚙️ SUPUESTOS'!$C$12)*'⚙️ SUPUESTOS'!$C$13,0),""))</f>
        <v>1415</v>
      </c>
      <c r="AD79" s="65">
        <f t="shared" si="6"/>
        <v>24513</v>
      </c>
      <c r="AE79" s="64">
        <f t="shared" si="7"/>
        <v>14.023053269325183</v>
      </c>
      <c r="AF79" s="59" t="str">
        <f>IF($C79="","",IF(AE79="","—",IF(AE79&lt;='⚙️ SUPUESTOS'!$C$32,"✔ Muy recomendable",IF(AE79&lt;='⚙️ SUPUESTOS'!$C$33,"✔ Recomendable","Valorar"))))</f>
        <v>✔ Muy recomendable</v>
      </c>
      <c r="AG79" s="68">
        <f>IF('📇 INVENTARIO'!O80="","",'📇 INVENTARIO'!O80)</f>
        <v>41.648470000000003</v>
      </c>
      <c r="AH79" s="68">
        <f>IF('📇 INVENTARIO'!P80="","",'📇 INVENTARIO'!P80)</f>
        <v>-4.7095700000000003</v>
      </c>
    </row>
    <row r="80" spans="1:34" ht="45" customHeight="1">
      <c r="A80" s="69">
        <f>IF($C80="","",RANK(O80,$O$3:$O$265,0)+COUNTIF($O$3:O80,O80)-1)</f>
        <v>78</v>
      </c>
      <c r="B80" s="70" t="str">
        <f>IF($C80="","",IF(A80&lt;='⚙️ SUPUESTOS'!$C$29,"Fase 1",IF(A80&lt;='⚙️ SUPUESTOS'!$C$30,"Fase 2","Fase 3")))</f>
        <v>Fase 2</v>
      </c>
      <c r="C80" s="71" t="str">
        <f>IF('📇 INVENTARIO'!B83="","",'📇 INVENTARIO'!B83)</f>
        <v>C/ Cigüeña, 33</v>
      </c>
      <c r="D80" s="70" t="str">
        <f>IF('📇 INVENTARIO'!C83="","",'📇 INVENTARIO'!C83)</f>
        <v>7723405UM5172D</v>
      </c>
      <c r="E80" s="70" t="str">
        <f>IF('📇 INVENTARIO'!D83="","",'📇 INVENTARIO'!D83)</f>
        <v>4718606028</v>
      </c>
      <c r="F80" s="70" t="str">
        <f>IF('📇 INVENTARIO'!F83="","",'📇 INVENTARIO'!F83)</f>
        <v>G</v>
      </c>
      <c r="G80" s="72">
        <f>IF('📇 INVENTARIO'!G83="","",'📇 INVENTARIO'!G83)</f>
        <v>354</v>
      </c>
      <c r="H80" s="72">
        <f>IF('📇 INVENTARIO'!H83="","",'📇 INVENTARIO'!H83)</f>
        <v>74.5</v>
      </c>
      <c r="I80" s="72">
        <f>IF('📇 INVENTARIO'!I83="","",'📇 INVENTARIO'!I83)</f>
        <v>159.30000000000001</v>
      </c>
      <c r="J80" s="72">
        <f>IF('📇 INVENTARIO'!J83="","",'📇 INVENTARIO'!J83)</f>
        <v>1966</v>
      </c>
      <c r="K80" s="73">
        <f>IF($C80="","",(G80-'⚙️ SUPUESTOS'!$C$20)/('⚙️ SUPUESTOS'!$C$25-'⚙️ SUPUESTOS'!$C$20))</f>
        <v>0.36316695352839934</v>
      </c>
      <c r="L80" s="73">
        <f>IF($C80="","",VLOOKUP($E80,'📊 SECCIONES'!$B$4:$S$9,16,FALSE()))</f>
        <v>0.24395028956990591</v>
      </c>
      <c r="M80" s="73">
        <f>IF($C80="","",VLOOKUP($E80,'📊 SECCIONES'!$B$4:$S$9,17,FALSE()))</f>
        <v>0.34507772020725386</v>
      </c>
      <c r="N80" s="73">
        <f>IF($C80="","",VLOOKUP($E80,'📊 SECCIONES'!$B$4:$S$9,18,FALSE()))</f>
        <v>0.70909090909090911</v>
      </c>
      <c r="O80" s="74">
        <f>IF($C80="","",ROUND('⚙️ SUPUESTOS'!$C$21*K80+'⚙️ SUPUESTOS'!$C$22*L80+'⚙️ SUPUESTOS'!$C$23*M80+'⚙️ SUPUESTOS'!$C$24*N80,4))</f>
        <v>0.36549999999999999</v>
      </c>
      <c r="P80" s="75">
        <f>IF($C80="","",VLOOKUP($E80,'📊 SECCIONES'!$B$4:$S$9,7,FALSE()))</f>
        <v>29.81</v>
      </c>
      <c r="Q80" s="76">
        <f>IF($C80="","",VLOOKUP($E80,'📊 SECCIONES'!$B$4:$S$9,8,FALSE()))</f>
        <v>23665</v>
      </c>
      <c r="R80" s="75">
        <f>IF($C80="","",VLOOKUP($E80,'📊 SECCIONES'!$B$4:$S$9,10,FALSE()))</f>
        <v>26.2</v>
      </c>
      <c r="S80" s="72">
        <f>IF('📇 INVENTARIO'!K83="","",'📇 INVENTARIO'!K83)</f>
        <v>5</v>
      </c>
      <c r="T80" s="77" t="str">
        <f t="shared" si="4"/>
        <v>Objetivo: alcanzar calificación C. Actual: Cal.G. SATE integral + cubierta + carpinterías triple + aerotermia + instalación fotovoltaica</v>
      </c>
      <c r="U80" s="70" t="str">
        <f t="shared" si="5"/>
        <v>Valorar ascensor (verificar)</v>
      </c>
      <c r="V80" s="78">
        <f>IF('📇 INVENTARIO'!L83="","",'📇 INVENTARIO'!L83)</f>
        <v>704.9</v>
      </c>
      <c r="W80" s="75">
        <f>IF($C80="","",V80*'⚙️ SUPUESTOS'!$C$8*'⚙️ SUPUESTOS'!$C$9)</f>
        <v>148.029</v>
      </c>
      <c r="X80" s="78">
        <f>IF('📇 INVENTARIO'!N83="","",'📇 INVENTARIO'!N83)</f>
        <v>1383</v>
      </c>
      <c r="Y80" s="78">
        <f>IF($C80="","",W80*X80*'⚙️ SUPUESTOS'!$C$7)</f>
        <v>184251.69629999998</v>
      </c>
      <c r="Z80" s="76">
        <f>IF($C80="","",W80*'⚙️ SUPUESTOS'!$C$10)</f>
        <v>197618.715</v>
      </c>
      <c r="AA80" s="76">
        <f>IF($C80="","",Y80*('⚙️ SUPUESTOS'!$C$12*'⚙️ SUPUESTOS'!$C$11+(1-'⚙️ SUPUESTOS'!$C$12)*'⚙️ SUPUESTOS'!$C$13))</f>
        <v>12565.96568766</v>
      </c>
      <c r="AB80" s="76">
        <f>IF($C80="","",IF(Y80&gt;0,ROUND(Y80*'⚙️ SUPUESTOS'!$C$12*'⚙️ SUPUESTOS'!$C$11,0),""))</f>
        <v>4606</v>
      </c>
      <c r="AC80" s="76">
        <f>IF($C80="","",IF(Y80&gt;0,ROUND(Y80*(1-'⚙️ SUPUESTOS'!$C$12)*'⚙️ SUPUESTOS'!$C$13,0),""))</f>
        <v>7960</v>
      </c>
      <c r="AD80" s="76">
        <f t="shared" si="6"/>
        <v>116530</v>
      </c>
      <c r="AE80" s="75">
        <f t="shared" si="7"/>
        <v>15.726504425685729</v>
      </c>
      <c r="AF80" s="70" t="str">
        <f>IF($C80="","",IF(AE80="","—",IF(AE80&lt;='⚙️ SUPUESTOS'!$C$32,"✔ Muy recomendable",IF(AE80&lt;='⚙️ SUPUESTOS'!$C$33,"✔ Recomendable","Valorar"))))</f>
        <v>✔ Recomendable</v>
      </c>
      <c r="AG80" s="79">
        <f>IF('📇 INVENTARIO'!O81="","",'📇 INVENTARIO'!O81)</f>
        <v>41.64958</v>
      </c>
      <c r="AH80" s="79">
        <f>IF('📇 INVENTARIO'!P81="","",'📇 INVENTARIO'!P81)</f>
        <v>-4.7073700000000001</v>
      </c>
    </row>
    <row r="81" spans="1:34" ht="45" customHeight="1">
      <c r="A81" s="58">
        <f>IF($C81="","",RANK(O81,$O$3:$O$265,0)+COUNTIF($O$3:O81,O81)-1)</f>
        <v>79</v>
      </c>
      <c r="B81" s="59" t="str">
        <f>IF($C81="","",IF(A81&lt;='⚙️ SUPUESTOS'!$C$29,"Fase 1",IF(A81&lt;='⚙️ SUPUESTOS'!$C$30,"Fase 2","Fase 3")))</f>
        <v>Fase 2</v>
      </c>
      <c r="C81" s="60" t="str">
        <f>IF('📇 INVENTARIO'!B82="","",'📇 INVENTARIO'!B82)</f>
        <v>C/ Villabáñez, 9</v>
      </c>
      <c r="D81" s="59" t="str">
        <f>IF('📇 INVENTARIO'!C82="","",'📇 INVENTARIO'!C82)</f>
        <v>7825707UM5172F</v>
      </c>
      <c r="E81" s="59" t="str">
        <f>IF('📇 INVENTARIO'!D82="","",'📇 INVENTARIO'!D82)</f>
        <v>4718606023</v>
      </c>
      <c r="F81" s="59" t="str">
        <f>IF('📇 INVENTARIO'!F82="","",'📇 INVENTARIO'!F82)</f>
        <v>E</v>
      </c>
      <c r="G81" s="61">
        <f>IF('📇 INVENTARIO'!G82="","",'📇 INVENTARIO'!G82)</f>
        <v>286</v>
      </c>
      <c r="H81" s="61">
        <f>IF('📇 INVENTARIO'!H82="","",'📇 INVENTARIO'!H82)</f>
        <v>55</v>
      </c>
      <c r="I81" s="61">
        <f>IF('📇 INVENTARIO'!I82="","",'📇 INVENTARIO'!I82)</f>
        <v>113.8</v>
      </c>
      <c r="J81" s="61">
        <f>IF('📇 INVENTARIO'!J82="","",'📇 INVENTARIO'!J82)</f>
        <v>1963</v>
      </c>
      <c r="K81" s="62">
        <f>IF($C81="","",(G81-'⚙️ SUPUESTOS'!$C$20)/('⚙️ SUPUESTOS'!$C$25-'⚙️ SUPUESTOS'!$C$20))</f>
        <v>0.24612736660929432</v>
      </c>
      <c r="L81" s="62">
        <f>IF($C81="","",VLOOKUP($E81,'📊 SECCIONES'!$B$4:$S$9,16,FALSE()))</f>
        <v>0.54128061278831963</v>
      </c>
      <c r="M81" s="62">
        <f>IF($C81="","",VLOOKUP($E81,'📊 SECCIONES'!$B$4:$S$9,17,FALSE()))</f>
        <v>0.59585492227979275</v>
      </c>
      <c r="N81" s="62">
        <f>IF($C81="","",VLOOKUP($E81,'📊 SECCIONES'!$B$4:$S$9,18,FALSE()))</f>
        <v>0.28636363636363632</v>
      </c>
      <c r="O81" s="63">
        <f>IF($C81="","",ROUND('⚙️ SUPUESTOS'!$C$21*K81+'⚙️ SUPUESTOS'!$C$22*L81+'⚙️ SUPUESTOS'!$C$23*M81+'⚙️ SUPUESTOS'!$C$24*N81,4))</f>
        <v>0.36359999999999998</v>
      </c>
      <c r="P81" s="64">
        <f>IF($C81="","",VLOOKUP($E81,'📊 SECCIONES'!$B$4:$S$9,7,FALSE()))</f>
        <v>39.409999999999997</v>
      </c>
      <c r="Q81" s="65">
        <f>IF($C81="","",VLOOKUP($E81,'📊 SECCIONES'!$B$4:$S$9,8,FALSE()))</f>
        <v>22486</v>
      </c>
      <c r="R81" s="64">
        <f>IF($C81="","",VLOOKUP($E81,'📊 SECCIONES'!$B$4:$S$9,10,FALSE()))</f>
        <v>16.899999999999999</v>
      </c>
      <c r="S81" s="61">
        <f>IF('📇 INVENTARIO'!K82="","",'📇 INVENTARIO'!K82)</f>
        <v>4</v>
      </c>
      <c r="T81" s="66" t="str">
        <f t="shared" si="4"/>
        <v>Objetivo: alcanzar calificación C. Actual: Cal.E. SATE fachada + carpinterías doble + instalación fotovoltaica</v>
      </c>
      <c r="U81" s="59" t="str">
        <f t="shared" si="5"/>
        <v>Valorar ascensor (verificar)</v>
      </c>
      <c r="V81" s="67">
        <f>IF('📇 INVENTARIO'!L82="","",'📇 INVENTARIO'!L82)</f>
        <v>245</v>
      </c>
      <c r="W81" s="64">
        <f>IF($C81="","",V81*'⚙️ SUPUESTOS'!$C$8*'⚙️ SUPUESTOS'!$C$9)</f>
        <v>51.449999999999996</v>
      </c>
      <c r="X81" s="67">
        <f>IF('📇 INVENTARIO'!N82="","",'📇 INVENTARIO'!N82)</f>
        <v>1390</v>
      </c>
      <c r="Y81" s="67">
        <f>IF($C81="","",W81*X81*'⚙️ SUPUESTOS'!$C$7)</f>
        <v>64363.950000000004</v>
      </c>
      <c r="Z81" s="65">
        <f>IF($C81="","",W81*'⚙️ SUPUESTOS'!$C$10)</f>
        <v>68685.75</v>
      </c>
      <c r="AA81" s="65">
        <f>IF($C81="","",Y81*('⚙️ SUPUESTOS'!$C$12*'⚙️ SUPUESTOS'!$C$11+(1-'⚙️ SUPUESTOS'!$C$12)*'⚙️ SUPUESTOS'!$C$13))</f>
        <v>4389.6213900000012</v>
      </c>
      <c r="AB81" s="65">
        <f>IF($C81="","",IF(Y81&gt;0,ROUND(Y81*'⚙️ SUPUESTOS'!$C$12*'⚙️ SUPUESTOS'!$C$11,0),""))</f>
        <v>1609</v>
      </c>
      <c r="AC81" s="65">
        <f>IF($C81="","",IF(Y81&gt;0,ROUND(Y81*(1-'⚙️ SUPUESTOS'!$C$12)*'⚙️ SUPUESTOS'!$C$13,0),""))</f>
        <v>2781</v>
      </c>
      <c r="AD81" s="65">
        <f t="shared" si="6"/>
        <v>41055</v>
      </c>
      <c r="AE81" s="64">
        <f t="shared" si="7"/>
        <v>15.64730620195925</v>
      </c>
      <c r="AF81" s="59" t="str">
        <f>IF($C81="","",IF(AE81="","—",IF(AE81&lt;='⚙️ SUPUESTOS'!$C$32,"✔ Muy recomendable",IF(AE81&lt;='⚙️ SUPUESTOS'!$C$33,"✔ Recomendable","Valorar"))))</f>
        <v>✔ Recomendable</v>
      </c>
      <c r="AG81" s="68">
        <f>IF('📇 INVENTARIO'!O82="","",'📇 INVENTARIO'!O82)</f>
        <v>41.64969</v>
      </c>
      <c r="AH81" s="68">
        <f>IF('📇 INVENTARIO'!P82="","",'📇 INVENTARIO'!P82)</f>
        <v>-4.7099099999999998</v>
      </c>
    </row>
    <row r="82" spans="1:34" ht="45" customHeight="1">
      <c r="A82" s="58">
        <f>IF($C82="","",RANK(O82,$O$3:$O$265,0)+COUNTIF($O$3:O82,O82)-1)</f>
        <v>80</v>
      </c>
      <c r="B82" s="59" t="str">
        <f>IF($C82="","",IF(A82&lt;='⚙️ SUPUESTOS'!$C$29,"Fase 1",IF(A82&lt;='⚙️ SUPUESTOS'!$C$30,"Fase 2","Fase 3")))</f>
        <v>Fase 2</v>
      </c>
      <c r="C82" s="60" t="str">
        <f>IF('📇 INVENTARIO'!B80="","",'📇 INVENTARIO'!B80)</f>
        <v>C/ Águila, 19</v>
      </c>
      <c r="D82" s="59" t="str">
        <f>IF('📇 INVENTARIO'!C80="","",'📇 INVENTARIO'!C80)</f>
        <v>7724218UM5172D</v>
      </c>
      <c r="E82" s="59" t="str">
        <f>IF('📇 INVENTARIO'!D80="","",'📇 INVENTARIO'!D80)</f>
        <v>4718606026</v>
      </c>
      <c r="F82" s="59" t="str">
        <f>IF('📇 INVENTARIO'!F80="","",'📇 INVENTARIO'!F80)</f>
        <v>D</v>
      </c>
      <c r="G82" s="61">
        <f>IF('📇 INVENTARIO'!G80="","",'📇 INVENTARIO'!G80)</f>
        <v>143</v>
      </c>
      <c r="H82" s="61">
        <f>IF('📇 INVENTARIO'!H80="","",'📇 INVENTARIO'!H80)</f>
        <v>29.5</v>
      </c>
      <c r="I82" s="61">
        <f>IF('📇 INVENTARIO'!I80="","",'📇 INVENTARIO'!I80)</f>
        <v>55.7</v>
      </c>
      <c r="J82" s="61">
        <f>IF('📇 INVENTARIO'!J80="","",'📇 INVENTARIO'!J80)</f>
        <v>1965</v>
      </c>
      <c r="K82" s="62">
        <f>IF($C82="","",(G82-'⚙️ SUPUESTOS'!$C$20)/('⚙️ SUPUESTOS'!$C$25-'⚙️ SUPUESTOS'!$C$20))</f>
        <v>0</v>
      </c>
      <c r="L82" s="62">
        <f>IF($C82="","",VLOOKUP($E82,'📊 SECCIONES'!$B$4:$S$9,16,FALSE()))</f>
        <v>1</v>
      </c>
      <c r="M82" s="62">
        <f>IF($C82="","",VLOOKUP($E82,'📊 SECCIONES'!$B$4:$S$9,17,FALSE()))</f>
        <v>1</v>
      </c>
      <c r="N82" s="62">
        <f>IF($C82="","",VLOOKUP($E82,'📊 SECCIONES'!$B$4:$S$9,18,FALSE()))</f>
        <v>0</v>
      </c>
      <c r="O82" s="63">
        <f>IF($C82="","",ROUND('⚙️ SUPUESTOS'!$C$21*K82+'⚙️ SUPUESTOS'!$C$22*L82+'⚙️ SUPUESTOS'!$C$23*M82+'⚙️ SUPUESTOS'!$C$24*N82,4))</f>
        <v>0.36</v>
      </c>
      <c r="P82" s="64">
        <f>IF($C82="","",VLOOKUP($E82,'📊 SECCIONES'!$B$4:$S$9,7,FALSE()))</f>
        <v>66.510000000000005</v>
      </c>
      <c r="Q82" s="65">
        <f>IF($C82="","",VLOOKUP($E82,'📊 SECCIONES'!$B$4:$S$9,8,FALSE()))</f>
        <v>17450</v>
      </c>
      <c r="R82" s="64">
        <f>IF($C82="","",VLOOKUP($E82,'📊 SECCIONES'!$B$4:$S$9,10,FALSE()))</f>
        <v>10.6</v>
      </c>
      <c r="S82" s="61">
        <f>IF('📇 INVENTARIO'!K80="","",'📇 INVENTARIO'!K80)</f>
        <v>3</v>
      </c>
      <c r="T82" s="66" t="str">
        <f t="shared" si="4"/>
        <v>Objetivo: alcanzar calificación C. Actual: Cal.D. Mantenimiento de envolvente + instalación fotovoltaica en cubierta</v>
      </c>
      <c r="U82" s="59" t="str">
        <f t="shared" si="5"/>
        <v>—</v>
      </c>
      <c r="V82" s="67">
        <f>IF('📇 INVENTARIO'!L80="","",'📇 INVENTARIO'!L80)</f>
        <v>95.5</v>
      </c>
      <c r="W82" s="64">
        <f>IF($C82="","",V82*'⚙️ SUPUESTOS'!$C$8*'⚙️ SUPUESTOS'!$C$9)</f>
        <v>20.055</v>
      </c>
      <c r="X82" s="67">
        <f>IF('📇 INVENTARIO'!N80="","",'📇 INVENTARIO'!N80)</f>
        <v>1569</v>
      </c>
      <c r="Y82" s="67">
        <f>IF($C82="","",W82*X82*'⚙️ SUPUESTOS'!$C$7)</f>
        <v>28319.665499999999</v>
      </c>
      <c r="Z82" s="65">
        <f>IF($C82="","",W82*'⚙️ SUPUESTOS'!$C$10)</f>
        <v>26773.424999999999</v>
      </c>
      <c r="AA82" s="65">
        <f>IF($C82="","",Y82*('⚙️ SUPUESTOS'!$C$12*'⚙️ SUPUESTOS'!$C$11+(1-'⚙️ SUPUESTOS'!$C$12)*'⚙️ SUPUESTOS'!$C$13))</f>
        <v>1931.4011871000002</v>
      </c>
      <c r="AB82" s="65">
        <f>IF($C82="","",IF(Y82&gt;0,ROUND(Y82*'⚙️ SUPUESTOS'!$C$12*'⚙️ SUPUESTOS'!$C$11,0),""))</f>
        <v>708</v>
      </c>
      <c r="AC82" s="65">
        <f>IF($C82="","",IF(Y82&gt;0,ROUND(Y82*(1-'⚙️ SUPUESTOS'!$C$12)*'⚙️ SUPUESTOS'!$C$13,0),""))</f>
        <v>1223</v>
      </c>
      <c r="AD82" s="76">
        <f t="shared" si="6"/>
        <v>21512</v>
      </c>
      <c r="AE82" s="75">
        <f t="shared" si="7"/>
        <v>13.862176941187609</v>
      </c>
      <c r="AF82" s="70" t="str">
        <f>IF($C82="","",IF(AE82="","—",IF(AE82&lt;='⚙️ SUPUESTOS'!$C$32,"✔ Muy recomendable",IF(AE82&lt;='⚙️ SUPUESTOS'!$C$33,"✔ Recomendable","Valorar"))))</f>
        <v>✔ Muy recomendable</v>
      </c>
      <c r="AG82" s="79">
        <f>IF('📇 INVENTARIO'!O83="","",'📇 INVENTARIO'!O83)</f>
        <v>41.64761</v>
      </c>
      <c r="AH82" s="79">
        <f>IF('📇 INVENTARIO'!P83="","",'📇 INVENTARIO'!P83)</f>
        <v>-4.7094699999999996</v>
      </c>
    </row>
    <row r="83" spans="1:34" ht="45" customHeight="1">
      <c r="A83" s="58">
        <f>IF($C83="","",RANK(O83,$O$3:$O$265,0)+COUNTIF($O$3:O83,O83)-1)</f>
        <v>81</v>
      </c>
      <c r="B83" s="59" t="str">
        <f>IF($C83="","",IF(A83&lt;='⚙️ SUPUESTOS'!$C$29,"Fase 1",IF(A83&lt;='⚙️ SUPUESTOS'!$C$30,"Fase 2","Fase 3")))</f>
        <v>Fase 2</v>
      </c>
      <c r="C83" s="60" t="str">
        <f>IF('📇 INVENTARIO'!B84="","",'📇 INVENTARIO'!B84)</f>
        <v>C/ Villabáñez, 21</v>
      </c>
      <c r="D83" s="59" t="str">
        <f>IF('📇 INVENTARIO'!C84="","",'📇 INVENTARIO'!C84)</f>
        <v>7825416UM5172F</v>
      </c>
      <c r="E83" s="59" t="str">
        <f>IF('📇 INVENTARIO'!D84="","",'📇 INVENTARIO'!D84)</f>
        <v>4718606023</v>
      </c>
      <c r="F83" s="59" t="str">
        <f>IF('📇 INVENTARIO'!F84="","",'📇 INVENTARIO'!F84)</f>
        <v>E</v>
      </c>
      <c r="G83" s="61">
        <f>IF('📇 INVENTARIO'!G84="","",'📇 INVENTARIO'!G84)</f>
        <v>276</v>
      </c>
      <c r="H83" s="61">
        <f>IF('📇 INVENTARIO'!H84="","",'📇 INVENTARIO'!H84)</f>
        <v>58</v>
      </c>
      <c r="I83" s="61">
        <f>IF('📇 INVENTARIO'!I84="","",'📇 INVENTARIO'!I84)</f>
        <v>140.19999999999999</v>
      </c>
      <c r="J83" s="61">
        <f>IF('📇 INVENTARIO'!J84="","",'📇 INVENTARIO'!J84)</f>
        <v>1965</v>
      </c>
      <c r="K83" s="62">
        <f>IF($C83="","",(G83-'⚙️ SUPUESTOS'!$C$20)/('⚙️ SUPUESTOS'!$C$25-'⚙️ SUPUESTOS'!$C$20))</f>
        <v>0.2289156626506024</v>
      </c>
      <c r="L83" s="62">
        <f>IF($C83="","",VLOOKUP($E83,'📊 SECCIONES'!$B$4:$S$9,16,FALSE()))</f>
        <v>0.54128061278831963</v>
      </c>
      <c r="M83" s="62">
        <f>IF($C83="","",VLOOKUP($E83,'📊 SECCIONES'!$B$4:$S$9,17,FALSE()))</f>
        <v>0.59585492227979275</v>
      </c>
      <c r="N83" s="62">
        <f>IF($C83="","",VLOOKUP($E83,'📊 SECCIONES'!$B$4:$S$9,18,FALSE()))</f>
        <v>0.28636363636363632</v>
      </c>
      <c r="O83" s="63">
        <f>IF($C83="","",ROUND('⚙️ SUPUESTOS'!$C$21*K83+'⚙️ SUPUESTOS'!$C$22*L83+'⚙️ SUPUESTOS'!$C$23*M83+'⚙️ SUPUESTOS'!$C$24*N83,4))</f>
        <v>0.35420000000000001</v>
      </c>
      <c r="P83" s="64">
        <f>IF($C83="","",VLOOKUP($E83,'📊 SECCIONES'!$B$4:$S$9,7,FALSE()))</f>
        <v>39.409999999999997</v>
      </c>
      <c r="Q83" s="65">
        <f>IF($C83="","",VLOOKUP($E83,'📊 SECCIONES'!$B$4:$S$9,8,FALSE()))</f>
        <v>22486</v>
      </c>
      <c r="R83" s="64">
        <f>IF($C83="","",VLOOKUP($E83,'📊 SECCIONES'!$B$4:$S$9,10,FALSE()))</f>
        <v>16.899999999999999</v>
      </c>
      <c r="S83" s="61">
        <f>IF('📇 INVENTARIO'!K84="","",'📇 INVENTARIO'!K84)</f>
        <v>3</v>
      </c>
      <c r="T83" s="66" t="str">
        <f t="shared" si="4"/>
        <v>Objetivo: alcanzar calificación C. Actual: Cal.E. SATE fachada + carpinterías doble + instalación fotovoltaica</v>
      </c>
      <c r="U83" s="59" t="str">
        <f t="shared" si="5"/>
        <v>—</v>
      </c>
      <c r="V83" s="67">
        <f>IF('📇 INVENTARIO'!L84="","",'📇 INVENTARIO'!L84)</f>
        <v>111.3</v>
      </c>
      <c r="W83" s="64">
        <f>IF($C83="","",V83*'⚙️ SUPUESTOS'!$C$8*'⚙️ SUPUESTOS'!$C$9)</f>
        <v>23.372999999999998</v>
      </c>
      <c r="X83" s="67">
        <f>IF('📇 INVENTARIO'!N84="","",'📇 INVENTARIO'!N84)</f>
        <v>1444</v>
      </c>
      <c r="Y83" s="67">
        <f>IF($C83="","",W83*X83*'⚙️ SUPUESTOS'!$C$7)</f>
        <v>30375.550799999994</v>
      </c>
      <c r="Z83" s="65">
        <f>IF($C83="","",W83*'⚙️ SUPUESTOS'!$C$10)</f>
        <v>31202.954999999998</v>
      </c>
      <c r="AA83" s="65">
        <f>IF($C83="","",Y83*('⚙️ SUPUESTOS'!$C$12*'⚙️ SUPUESTOS'!$C$11+(1-'⚙️ SUPUESTOS'!$C$12)*'⚙️ SUPUESTOS'!$C$13))</f>
        <v>2071.61256456</v>
      </c>
      <c r="AB83" s="65">
        <f>IF($C83="","",IF(Y83&gt;0,ROUND(Y83*'⚙️ SUPUESTOS'!$C$12*'⚙️ SUPUESTOS'!$C$11,0),""))</f>
        <v>759</v>
      </c>
      <c r="AC83" s="65">
        <f>IF($C83="","",IF(Y83&gt;0,ROUND(Y83*(1-'⚙️ SUPUESTOS'!$C$12)*'⚙️ SUPUESTOS'!$C$13,0),""))</f>
        <v>1312</v>
      </c>
      <c r="AD83" s="65">
        <f t="shared" si="6"/>
        <v>20587</v>
      </c>
      <c r="AE83" s="64">
        <f t="shared" si="7"/>
        <v>15.06215763207989</v>
      </c>
      <c r="AF83" s="59" t="str">
        <f>IF($C83="","",IF(AE83="","—",IF(AE83&lt;='⚙️ SUPUESTOS'!$C$32,"✔ Muy recomendable",IF(AE83&lt;='⚙️ SUPUESTOS'!$C$33,"✔ Recomendable","Valorar"))))</f>
        <v>✔ Recomendable</v>
      </c>
      <c r="AG83" s="68">
        <f>IF('📇 INVENTARIO'!O84="","",'📇 INVENTARIO'!O84)</f>
        <v>41.649180000000001</v>
      </c>
      <c r="AH83" s="68">
        <f>IF('📇 INVENTARIO'!P84="","",'📇 INVENTARIO'!P84)</f>
        <v>-4.7086699999999997</v>
      </c>
    </row>
    <row r="84" spans="1:34" ht="45" customHeight="1">
      <c r="A84" s="58">
        <f>IF($C84="","",RANK(O84,$O$3:$O$265,0)+COUNTIF($O$3:O84,O84)-1)</f>
        <v>82</v>
      </c>
      <c r="B84" s="59" t="str">
        <f>IF($C84="","",IF(A84&lt;='⚙️ SUPUESTOS'!$C$29,"Fase 1",IF(A84&lt;='⚙️ SUPUESTOS'!$C$30,"Fase 2","Fase 3")))</f>
        <v>Fase 2</v>
      </c>
      <c r="C84" s="60" t="str">
        <f>IF('📇 INVENTARIO'!B88="","",'📇 INVENTARIO'!B88)</f>
        <v>C/ Pelícano, 7</v>
      </c>
      <c r="D84" s="59" t="str">
        <f>IF('📇 INVENTARIO'!C88="","",'📇 INVENTARIO'!C88)</f>
        <v>7623001UM5172D</v>
      </c>
      <c r="E84" s="59" t="str">
        <f>IF('📇 INVENTARIO'!D88="","",'📇 INVENTARIO'!D88)</f>
        <v>4718606027</v>
      </c>
      <c r="F84" s="59" t="str">
        <f>IF('📇 INVENTARIO'!F88="","",'📇 INVENTARIO'!F88)</f>
        <v>G</v>
      </c>
      <c r="G84" s="61">
        <f>IF('📇 INVENTARIO'!G88="","",'📇 INVENTARIO'!G88)</f>
        <v>336</v>
      </c>
      <c r="H84" s="61">
        <f>IF('📇 INVENTARIO'!H88="","",'📇 INVENTARIO'!H88)</f>
        <v>68</v>
      </c>
      <c r="I84" s="61">
        <f>IF('📇 INVENTARIO'!I88="","",'📇 INVENTARIO'!I88)</f>
        <v>181.9</v>
      </c>
      <c r="J84" s="61">
        <f>IF('📇 INVENTARIO'!J88="","",'📇 INVENTARIO'!J88)</f>
        <v>1969</v>
      </c>
      <c r="K84" s="62">
        <f>IF($C84="","",(G84-'⚙️ SUPUESTOS'!$C$20)/('⚙️ SUPUESTOS'!$C$25-'⚙️ SUPUESTOS'!$C$20))</f>
        <v>0.33218588640275387</v>
      </c>
      <c r="L84" s="62">
        <f>IF($C84="","",VLOOKUP($E84,'📊 SECCIONES'!$B$4:$S$9,16,FALSE()))</f>
        <v>0.19481959841367916</v>
      </c>
      <c r="M84" s="62">
        <f>IF($C84="","",VLOOKUP($E84,'📊 SECCIONES'!$B$4:$S$9,17,FALSE()))</f>
        <v>0.2663212435233161</v>
      </c>
      <c r="N84" s="62">
        <f>IF($C84="","",VLOOKUP($E84,'📊 SECCIONES'!$B$4:$S$9,18,FALSE()))</f>
        <v>1</v>
      </c>
      <c r="O84" s="63">
        <f>IF($C84="","",ROUND('⚙️ SUPUESTOS'!$C$21*K84+'⚙️ SUPUESTOS'!$C$22*L84+'⚙️ SUPUESTOS'!$C$23*M84+'⚙️ SUPUESTOS'!$C$24*N84,4))</f>
        <v>0.3528</v>
      </c>
      <c r="P84" s="64">
        <f>IF($C84="","",VLOOKUP($E84,'📊 SECCIONES'!$B$4:$S$9,7,FALSE()))</f>
        <v>24.5</v>
      </c>
      <c r="Q84" s="65">
        <f>IF($C84="","",VLOOKUP($E84,'📊 SECCIONES'!$B$4:$S$9,8,FALSE()))</f>
        <v>25206</v>
      </c>
      <c r="R84" s="64">
        <f>IF($C84="","",VLOOKUP($E84,'📊 SECCIONES'!$B$4:$S$9,10,FALSE()))</f>
        <v>32.6</v>
      </c>
      <c r="S84" s="61">
        <f>IF('📇 INVENTARIO'!K88="","",'📇 INVENTARIO'!K88)</f>
        <v>6</v>
      </c>
      <c r="T84" s="66" t="str">
        <f t="shared" si="4"/>
        <v>Objetivo: alcanzar calificación C. Actual: Cal.G. SATE integral + cubierta + carpinterías triple + aerotermia + instalación fotovoltaica</v>
      </c>
      <c r="U84" s="59" t="str">
        <f t="shared" si="5"/>
        <v>Valorar ascensor (verificar)</v>
      </c>
      <c r="V84" s="67">
        <f>IF('📇 INVENTARIO'!L88="","",'📇 INVENTARIO'!L88)</f>
        <v>193.8</v>
      </c>
      <c r="W84" s="64">
        <f>IF($C84="","",V84*'⚙️ SUPUESTOS'!$C$8*'⚙️ SUPUESTOS'!$C$9)</f>
        <v>40.698</v>
      </c>
      <c r="X84" s="67">
        <f>IF('📇 INVENTARIO'!N88="","",'📇 INVENTARIO'!N88)</f>
        <v>1454</v>
      </c>
      <c r="Y84" s="67">
        <f>IF($C84="","",W84*X84*'⚙️ SUPUESTOS'!$C$7)</f>
        <v>53257.402800000003</v>
      </c>
      <c r="Z84" s="65">
        <f>IF($C84="","",W84*'⚙️ SUPUESTOS'!$C$10)</f>
        <v>54331.83</v>
      </c>
      <c r="AA84" s="65">
        <f>IF($C84="","",Y84*('⚙️ SUPUESTOS'!$C$12*'⚙️ SUPUESTOS'!$C$11+(1-'⚙️ SUPUESTOS'!$C$12)*'⚙️ SUPUESTOS'!$C$13))</f>
        <v>3632.1548709600006</v>
      </c>
      <c r="AB84" s="65">
        <f>IF($C84="","",IF(Y84&gt;0,ROUND(Y84*'⚙️ SUPUESTOS'!$C$12*'⚙️ SUPUESTOS'!$C$11,0),""))</f>
        <v>1331</v>
      </c>
      <c r="AC84" s="65">
        <f>IF($C84="","",IF(Y84&gt;0,ROUND(Y84*(1-'⚙️ SUPUESTOS'!$C$12)*'⚙️ SUPUESTOS'!$C$13,0),""))</f>
        <v>2301</v>
      </c>
      <c r="AD84" s="76">
        <f t="shared" si="6"/>
        <v>36472</v>
      </c>
      <c r="AE84" s="75">
        <f t="shared" si="7"/>
        <v>14.958566451666686</v>
      </c>
      <c r="AF84" s="70" t="str">
        <f>IF($C84="","",IF(AE84="","—",IF(AE84&lt;='⚙️ SUPUESTOS'!$C$32,"✔ Muy recomendable",IF(AE84&lt;='⚙️ SUPUESTOS'!$C$33,"✔ Recomendable","Valorar"))))</f>
        <v>✔ Muy recomendable</v>
      </c>
      <c r="AG84" s="79">
        <f>IF('📇 INVENTARIO'!O85="","",'📇 INVENTARIO'!O85)</f>
        <v>41.65043</v>
      </c>
      <c r="AH84" s="79">
        <f>IF('📇 INVENTARIO'!P85="","",'📇 INVENTARIO'!P85)</f>
        <v>-4.7104499999999998</v>
      </c>
    </row>
    <row r="85" spans="1:34" ht="45" customHeight="1">
      <c r="A85" s="69">
        <f>IF($C85="","",RANK(O85,$O$3:$O$265,0)+COUNTIF($O$3:O85,O85)-1)</f>
        <v>83</v>
      </c>
      <c r="B85" s="70" t="str">
        <f>IF($C85="","",IF(A85&lt;='⚙️ SUPUESTOS'!$C$29,"Fase 1",IF(A85&lt;='⚙️ SUPUESTOS'!$C$30,"Fase 2","Fase 3")))</f>
        <v>Fase 2</v>
      </c>
      <c r="C85" s="71" t="str">
        <f>IF('📇 INVENTARIO'!B85="","",'📇 INVENTARIO'!B85)</f>
        <v>C/ Salud, 21</v>
      </c>
      <c r="D85" s="70" t="str">
        <f>IF('📇 INVENTARIO'!C85="","",'📇 INVENTARIO'!C85)</f>
        <v>7726415UM5172F</v>
      </c>
      <c r="E85" s="70" t="str">
        <f>IF('📇 INVENTARIO'!D85="","",'📇 INVENTARIO'!D85)</f>
        <v>4718606023</v>
      </c>
      <c r="F85" s="70" t="str">
        <f>IF('📇 INVENTARIO'!F85="","",'📇 INVENTARIO'!F85)</f>
        <v>E</v>
      </c>
      <c r="G85" s="72">
        <f>IF('📇 INVENTARIO'!G85="","",'📇 INVENTARIO'!G85)</f>
        <v>273</v>
      </c>
      <c r="H85" s="72">
        <f>IF('📇 INVENTARIO'!H85="","",'📇 INVENTARIO'!H85)</f>
        <v>57.5</v>
      </c>
      <c r="I85" s="72">
        <f>IF('📇 INVENTARIO'!I85="","",'📇 INVENTARIO'!I85)</f>
        <v>134.30000000000001</v>
      </c>
      <c r="J85" s="72">
        <f>IF('📇 INVENTARIO'!J85="","",'📇 INVENTARIO'!J85)</f>
        <v>1964</v>
      </c>
      <c r="K85" s="73">
        <f>IF($C85="","",(G85-'⚙️ SUPUESTOS'!$C$20)/('⚙️ SUPUESTOS'!$C$25-'⚙️ SUPUESTOS'!$C$20))</f>
        <v>0.22375215146299485</v>
      </c>
      <c r="L85" s="73">
        <f>IF($C85="","",VLOOKUP($E85,'📊 SECCIONES'!$B$4:$S$9,16,FALSE()))</f>
        <v>0.54128061278831963</v>
      </c>
      <c r="M85" s="73">
        <f>IF($C85="","",VLOOKUP($E85,'📊 SECCIONES'!$B$4:$S$9,17,FALSE()))</f>
        <v>0.59585492227979275</v>
      </c>
      <c r="N85" s="73">
        <f>IF($C85="","",VLOOKUP($E85,'📊 SECCIONES'!$B$4:$S$9,18,FALSE()))</f>
        <v>0.28636363636363632</v>
      </c>
      <c r="O85" s="74">
        <f>IF($C85="","",ROUND('⚙️ SUPUESTOS'!$C$21*K85+'⚙️ SUPUESTOS'!$C$22*L85+'⚙️ SUPUESTOS'!$C$23*M85+'⚙️ SUPUESTOS'!$C$24*N85,4))</f>
        <v>0.3513</v>
      </c>
      <c r="P85" s="75">
        <f>IF($C85="","",VLOOKUP($E85,'📊 SECCIONES'!$B$4:$S$9,7,FALSE()))</f>
        <v>39.409999999999997</v>
      </c>
      <c r="Q85" s="76">
        <f>IF($C85="","",VLOOKUP($E85,'📊 SECCIONES'!$B$4:$S$9,8,FALSE()))</f>
        <v>22486</v>
      </c>
      <c r="R85" s="75">
        <f>IF($C85="","",VLOOKUP($E85,'📊 SECCIONES'!$B$4:$S$9,10,FALSE()))</f>
        <v>16.899999999999999</v>
      </c>
      <c r="S85" s="72">
        <f>IF('📇 INVENTARIO'!K85="","",'📇 INVENTARIO'!K85)</f>
        <v>5</v>
      </c>
      <c r="T85" s="77" t="str">
        <f t="shared" si="4"/>
        <v>Objetivo: alcanzar calificación C. Actual: Cal.E. SATE fachada + carpinterías doble + instalación fotovoltaica</v>
      </c>
      <c r="U85" s="70" t="str">
        <f t="shared" si="5"/>
        <v>Valorar ascensor (verificar)</v>
      </c>
      <c r="V85" s="78">
        <f>IF('📇 INVENTARIO'!L85="","",'📇 INVENTARIO'!L85)</f>
        <v>263.89999999999998</v>
      </c>
      <c r="W85" s="75">
        <f>IF($C85="","",V85*'⚙️ SUPUESTOS'!$C$8*'⚙️ SUPUESTOS'!$C$9)</f>
        <v>55.41899999999999</v>
      </c>
      <c r="X85" s="78">
        <f>IF('📇 INVENTARIO'!N85="","",'📇 INVENTARIO'!N85)</f>
        <v>1414</v>
      </c>
      <c r="Y85" s="78">
        <f>IF($C85="","",W85*X85*'⚙️ SUPUESTOS'!$C$7)</f>
        <v>70526.219399999987</v>
      </c>
      <c r="Z85" s="76">
        <f>IF($C85="","",W85*'⚙️ SUPUESTOS'!$C$10)</f>
        <v>73984.364999999991</v>
      </c>
      <c r="AA85" s="76">
        <f>IF($C85="","",Y85*('⚙️ SUPUESTOS'!$C$12*'⚙️ SUPUESTOS'!$C$11+(1-'⚙️ SUPUESTOS'!$C$12)*'⚙️ SUPUESTOS'!$C$13))</f>
        <v>4809.8881630799997</v>
      </c>
      <c r="AB85" s="76">
        <f>IF($C85="","",IF(Y85&gt;0,ROUND(Y85*'⚙️ SUPUESTOS'!$C$12*'⚙️ SUPUESTOS'!$C$11,0),""))</f>
        <v>1763</v>
      </c>
      <c r="AC85" s="76">
        <f>IF($C85="","",IF(Y85&gt;0,ROUND(Y85*(1-'⚙️ SUPUESTOS'!$C$12)*'⚙️ SUPUESTOS'!$C$13,0),""))</f>
        <v>3047</v>
      </c>
      <c r="AD85" s="65">
        <f t="shared" si="6"/>
        <v>46263</v>
      </c>
      <c r="AE85" s="64">
        <f t="shared" si="7"/>
        <v>15.381722504047639</v>
      </c>
      <c r="AF85" s="59" t="str">
        <f>IF($C85="","",IF(AE85="","—",IF(AE85&lt;='⚙️ SUPUESTOS'!$C$32,"✔ Muy recomendable",IF(AE85&lt;='⚙️ SUPUESTOS'!$C$33,"✔ Recomendable","Valorar"))))</f>
        <v>✔ Recomendable</v>
      </c>
      <c r="AG85" s="68">
        <f>IF('📇 INVENTARIO'!O86="","",'📇 INVENTARIO'!O86)</f>
        <v>41.650190000000002</v>
      </c>
      <c r="AH85" s="68">
        <f>IF('📇 INVENTARIO'!P86="","",'📇 INVENTARIO'!P86)</f>
        <v>-4.7104699999999999</v>
      </c>
    </row>
    <row r="86" spans="1:34" ht="45" customHeight="1">
      <c r="A86" s="58">
        <f>IF($C86="","",RANK(O86,$O$3:$O$265,0)+COUNTIF($O$3:O86,O86)-1)</f>
        <v>84</v>
      </c>
      <c r="B86" s="59" t="str">
        <f>IF($C86="","",IF(A86&lt;='⚙️ SUPUESTOS'!$C$29,"Fase 1",IF(A86&lt;='⚙️ SUPUESTOS'!$C$30,"Fase 2","Fase 3")))</f>
        <v>Fase 2</v>
      </c>
      <c r="C86" s="60" t="str">
        <f>IF('📇 INVENTARIO'!B86="","",'📇 INVENTARIO'!B86)</f>
        <v>C/ Salud, 20</v>
      </c>
      <c r="D86" s="59" t="str">
        <f>IF('📇 INVENTARIO'!C86="","",'📇 INVENTARIO'!C86)</f>
        <v>7825712UM5172F</v>
      </c>
      <c r="E86" s="59" t="str">
        <f>IF('📇 INVENTARIO'!D86="","",'📇 INVENTARIO'!D86)</f>
        <v>4718606023</v>
      </c>
      <c r="F86" s="59" t="str">
        <f>IF('📇 INVENTARIO'!F86="","",'📇 INVENTARIO'!F86)</f>
        <v>E</v>
      </c>
      <c r="G86" s="61">
        <f>IF('📇 INVENTARIO'!G86="","",'📇 INVENTARIO'!G86)</f>
        <v>273</v>
      </c>
      <c r="H86" s="61">
        <f>IF('📇 INVENTARIO'!H86="","",'📇 INVENTARIO'!H86)</f>
        <v>56.5</v>
      </c>
      <c r="I86" s="61">
        <f>IF('📇 INVENTARIO'!I86="","",'📇 INVENTARIO'!I86)</f>
        <v>165.7</v>
      </c>
      <c r="J86" s="61">
        <f>IF('📇 INVENTARIO'!J86="","",'📇 INVENTARIO'!J86)</f>
        <v>1964</v>
      </c>
      <c r="K86" s="62">
        <f>IF($C86="","",(G86-'⚙️ SUPUESTOS'!$C$20)/('⚙️ SUPUESTOS'!$C$25-'⚙️ SUPUESTOS'!$C$20))</f>
        <v>0.22375215146299485</v>
      </c>
      <c r="L86" s="62">
        <f>IF($C86="","",VLOOKUP($E86,'📊 SECCIONES'!$B$4:$S$9,16,FALSE()))</f>
        <v>0.54128061278831963</v>
      </c>
      <c r="M86" s="62">
        <f>IF($C86="","",VLOOKUP($E86,'📊 SECCIONES'!$B$4:$S$9,17,FALSE()))</f>
        <v>0.59585492227979275</v>
      </c>
      <c r="N86" s="62">
        <f>IF($C86="","",VLOOKUP($E86,'📊 SECCIONES'!$B$4:$S$9,18,FALSE()))</f>
        <v>0.28636363636363632</v>
      </c>
      <c r="O86" s="63">
        <f>IF($C86="","",ROUND('⚙️ SUPUESTOS'!$C$21*K86+'⚙️ SUPUESTOS'!$C$22*L86+'⚙️ SUPUESTOS'!$C$23*M86+'⚙️ SUPUESTOS'!$C$24*N86,4))</f>
        <v>0.3513</v>
      </c>
      <c r="P86" s="64">
        <f>IF($C86="","",VLOOKUP($E86,'📊 SECCIONES'!$B$4:$S$9,7,FALSE()))</f>
        <v>39.409999999999997</v>
      </c>
      <c r="Q86" s="65">
        <f>IF($C86="","",VLOOKUP($E86,'📊 SECCIONES'!$B$4:$S$9,8,FALSE()))</f>
        <v>22486</v>
      </c>
      <c r="R86" s="64">
        <f>IF($C86="","",VLOOKUP($E86,'📊 SECCIONES'!$B$4:$S$9,10,FALSE()))</f>
        <v>16.899999999999999</v>
      </c>
      <c r="S86" s="61">
        <f>IF('📇 INVENTARIO'!K86="","",'📇 INVENTARIO'!K86)</f>
        <v>4</v>
      </c>
      <c r="T86" s="66" t="str">
        <f t="shared" si="4"/>
        <v>Objetivo: alcanzar calificación C. Actual: Cal.E. SATE fachada + carpinterías doble + instalación fotovoltaica</v>
      </c>
      <c r="U86" s="59" t="str">
        <f t="shared" si="5"/>
        <v>Valorar ascensor (verificar)</v>
      </c>
      <c r="V86" s="67">
        <f>IF('📇 INVENTARIO'!L86="","",'📇 INVENTARIO'!L86)</f>
        <v>305</v>
      </c>
      <c r="W86" s="64">
        <f>IF($C86="","",V86*'⚙️ SUPUESTOS'!$C$8*'⚙️ SUPUESTOS'!$C$9)</f>
        <v>64.05</v>
      </c>
      <c r="X86" s="67">
        <f>IF('📇 INVENTARIO'!N86="","",'📇 INVENTARIO'!N86)</f>
        <v>1403</v>
      </c>
      <c r="Y86" s="67">
        <f>IF($C86="","",W86*X86*'⚙️ SUPUESTOS'!$C$7)</f>
        <v>80875.934999999998</v>
      </c>
      <c r="Z86" s="65">
        <f>IF($C86="","",W86*'⚙️ SUPUESTOS'!$C$10)</f>
        <v>85506.75</v>
      </c>
      <c r="AA86" s="65">
        <f>IF($C86="","",Y86*('⚙️ SUPUESTOS'!$C$12*'⚙️ SUPUESTOS'!$C$11+(1-'⚙️ SUPUESTOS'!$C$12)*'⚙️ SUPUESTOS'!$C$13))</f>
        <v>5515.7387670000007</v>
      </c>
      <c r="AB86" s="65">
        <f>IF($C86="","",IF(Y86&gt;0,ROUND(Y86*'⚙️ SUPUESTOS'!$C$12*'⚙️ SUPUESTOS'!$C$11,0),""))</f>
        <v>2022</v>
      </c>
      <c r="AC86" s="65">
        <f>IF($C86="","",IF(Y86&gt;0,ROUND(Y86*(1-'⚙️ SUPUESTOS'!$C$12)*'⚙️ SUPUESTOS'!$C$13,0),""))</f>
        <v>3494</v>
      </c>
      <c r="AD86" s="76">
        <f t="shared" si="6"/>
        <v>52387</v>
      </c>
      <c r="AE86" s="75">
        <f t="shared" si="7"/>
        <v>15.502320470936109</v>
      </c>
      <c r="AF86" s="70" t="str">
        <f>IF($C86="","",IF(AE86="","—",IF(AE86&lt;='⚙️ SUPUESTOS'!$C$32,"✔ Muy recomendable",IF(AE86&lt;='⚙️ SUPUESTOS'!$C$33,"✔ Recomendable","Valorar"))))</f>
        <v>✔ Recomendable</v>
      </c>
      <c r="AG86" s="79">
        <f>IF('📇 INVENTARIO'!O87="","",'📇 INVENTARIO'!O87)</f>
        <v>41.649299999999997</v>
      </c>
      <c r="AH86" s="79">
        <f>IF('📇 INVENTARIO'!P87="","",'📇 INVENTARIO'!P87)</f>
        <v>-4.7084799999999998</v>
      </c>
    </row>
    <row r="87" spans="1:34" ht="45" customHeight="1">
      <c r="A87" s="58">
        <f>IF($C87="","",RANK(O87,$O$3:$O$265,0)+COUNTIF($O$3:O87,O87)-1)</f>
        <v>85</v>
      </c>
      <c r="B87" s="59" t="str">
        <f>IF($C87="","",IF(A87&lt;='⚙️ SUPUESTOS'!$C$29,"Fase 1",IF(A87&lt;='⚙️ SUPUESTOS'!$C$30,"Fase 2","Fase 3")))</f>
        <v>Fase 2</v>
      </c>
      <c r="C87" s="60" t="str">
        <f>IF('📇 INVENTARIO'!B90="","",'📇 INVENTARIO'!B90)</f>
        <v>C/ Zorzal, 3</v>
      </c>
      <c r="D87" s="59" t="str">
        <f>IF('📇 INVENTARIO'!C90="","",'📇 INVENTARIO'!C90)</f>
        <v>7623001UM5172D</v>
      </c>
      <c r="E87" s="59" t="str">
        <f>IF('📇 INVENTARIO'!D90="","",'📇 INVENTARIO'!D90)</f>
        <v>4718606027</v>
      </c>
      <c r="F87" s="59" t="str">
        <f>IF('📇 INVENTARIO'!F90="","",'📇 INVENTARIO'!F90)</f>
        <v>G</v>
      </c>
      <c r="G87" s="61">
        <f>IF('📇 INVENTARIO'!G90="","",'📇 INVENTARIO'!G90)</f>
        <v>334</v>
      </c>
      <c r="H87" s="61">
        <f>IF('📇 INVENTARIO'!H90="","",'📇 INVENTARIO'!H90)</f>
        <v>71</v>
      </c>
      <c r="I87" s="61">
        <f>IF('📇 INVENTARIO'!I90="","",'📇 INVENTARIO'!I90)</f>
        <v>165.3</v>
      </c>
      <c r="J87" s="61">
        <f>IF('📇 INVENTARIO'!J90="","",'📇 INVENTARIO'!J90)</f>
        <v>1969</v>
      </c>
      <c r="K87" s="62">
        <f>IF($C87="","",(G87-'⚙️ SUPUESTOS'!$C$20)/('⚙️ SUPUESTOS'!$C$25-'⚙️ SUPUESTOS'!$C$20))</f>
        <v>0.32874354561101549</v>
      </c>
      <c r="L87" s="62">
        <f>IF($C87="","",VLOOKUP($E87,'📊 SECCIONES'!$B$4:$S$9,16,FALSE()))</f>
        <v>0.19481959841367916</v>
      </c>
      <c r="M87" s="62">
        <f>IF($C87="","",VLOOKUP($E87,'📊 SECCIONES'!$B$4:$S$9,17,FALSE()))</f>
        <v>0.2663212435233161</v>
      </c>
      <c r="N87" s="62">
        <f>IF($C87="","",VLOOKUP($E87,'📊 SECCIONES'!$B$4:$S$9,18,FALSE()))</f>
        <v>1</v>
      </c>
      <c r="O87" s="63">
        <f>IF($C87="","",ROUND('⚙️ SUPUESTOS'!$C$21*K87+'⚙️ SUPUESTOS'!$C$22*L87+'⚙️ SUPUESTOS'!$C$23*M87+'⚙️ SUPUESTOS'!$C$24*N87,4))</f>
        <v>0.35099999999999998</v>
      </c>
      <c r="P87" s="64">
        <f>IF($C87="","",VLOOKUP($E87,'📊 SECCIONES'!$B$4:$S$9,7,FALSE()))</f>
        <v>24.5</v>
      </c>
      <c r="Q87" s="65">
        <f>IF($C87="","",VLOOKUP($E87,'📊 SECCIONES'!$B$4:$S$9,8,FALSE()))</f>
        <v>25206</v>
      </c>
      <c r="R87" s="64">
        <f>IF($C87="","",VLOOKUP($E87,'📊 SECCIONES'!$B$4:$S$9,10,FALSE()))</f>
        <v>32.6</v>
      </c>
      <c r="S87" s="61">
        <f>IF('📇 INVENTARIO'!K90="","",'📇 INVENTARIO'!K90)</f>
        <v>6</v>
      </c>
      <c r="T87" s="66" t="str">
        <f t="shared" si="4"/>
        <v>Objetivo: alcanzar calificación C. Actual: Cal.G. SATE integral + cubierta + carpinterías triple + aerotermia + instalación fotovoltaica</v>
      </c>
      <c r="U87" s="59" t="str">
        <f t="shared" si="5"/>
        <v>Valorar ascensor (verificar)</v>
      </c>
      <c r="V87" s="67">
        <f>IF('📇 INVENTARIO'!L90="","",'📇 INVENTARIO'!L90)</f>
        <v>193.8</v>
      </c>
      <c r="W87" s="64">
        <f>IF($C87="","",V87*'⚙️ SUPUESTOS'!$C$8*'⚙️ SUPUESTOS'!$C$9)</f>
        <v>40.698</v>
      </c>
      <c r="X87" s="67">
        <f>IF('📇 INVENTARIO'!N90="","",'📇 INVENTARIO'!N90)</f>
        <v>1454</v>
      </c>
      <c r="Y87" s="67">
        <f>IF($C87="","",W87*X87*'⚙️ SUPUESTOS'!$C$7)</f>
        <v>53257.402800000003</v>
      </c>
      <c r="Z87" s="65">
        <f>IF($C87="","",W87*'⚙️ SUPUESTOS'!$C$10)</f>
        <v>54331.83</v>
      </c>
      <c r="AA87" s="65">
        <f>IF($C87="","",Y87*('⚙️ SUPUESTOS'!$C$12*'⚙️ SUPUESTOS'!$C$11+(1-'⚙️ SUPUESTOS'!$C$12)*'⚙️ SUPUESTOS'!$C$13))</f>
        <v>3632.1548709600006</v>
      </c>
      <c r="AB87" s="65">
        <f>IF($C87="","",IF(Y87&gt;0,ROUND(Y87*'⚙️ SUPUESTOS'!$C$12*'⚙️ SUPUESTOS'!$C$11,0),""))</f>
        <v>1331</v>
      </c>
      <c r="AC87" s="65">
        <f>IF($C87="","",IF(Y87&gt;0,ROUND(Y87*(1-'⚙️ SUPUESTOS'!$C$12)*'⚙️ SUPUESTOS'!$C$13,0),""))</f>
        <v>2301</v>
      </c>
      <c r="AD87" s="65">
        <f t="shared" si="6"/>
        <v>36472</v>
      </c>
      <c r="AE87" s="64">
        <f t="shared" si="7"/>
        <v>14.958566451666686</v>
      </c>
      <c r="AF87" s="59" t="str">
        <f>IF($C87="","",IF(AE87="","—",IF(AE87&lt;='⚙️ SUPUESTOS'!$C$32,"✔ Muy recomendable",IF(AE87&lt;='⚙️ SUPUESTOS'!$C$33,"✔ Recomendable","Valorar"))))</f>
        <v>✔ Muy recomendable</v>
      </c>
      <c r="AG87" s="68">
        <f>IF('📇 INVENTARIO'!O88="","",'📇 INVENTARIO'!O88)</f>
        <v>41.647629000000002</v>
      </c>
      <c r="AH87" s="68">
        <f>IF('📇 INVENTARIO'!P88="","",'📇 INVENTARIO'!P88)</f>
        <v>-4.711328</v>
      </c>
    </row>
    <row r="88" spans="1:34" ht="45" customHeight="1">
      <c r="A88" s="69">
        <f>IF($C88="","",RANK(O88,$O$3:$O$265,0)+COUNTIF($O$3:O88,O88)-1)</f>
        <v>86</v>
      </c>
      <c r="B88" s="70" t="str">
        <f>IF($C88="","",IF(A88&lt;='⚙️ SUPUESTOS'!$C$29,"Fase 1",IF(A88&lt;='⚙️ SUPUESTOS'!$C$30,"Fase 2","Fase 3")))</f>
        <v>Fase 2</v>
      </c>
      <c r="C88" s="71" t="str">
        <f>IF('📇 INVENTARIO'!B87="","",'📇 INVENTARIO'!B87)</f>
        <v>C/ Garza, 2</v>
      </c>
      <c r="D88" s="70" t="str">
        <f>IF('📇 INVENTARIO'!C87="","",'📇 INVENTARIO'!C87)</f>
        <v>7825409UM5172F</v>
      </c>
      <c r="E88" s="70" t="str">
        <f>IF('📇 INVENTARIO'!D87="","",'📇 INVENTARIO'!D87)</f>
        <v>4718606023</v>
      </c>
      <c r="F88" s="70" t="str">
        <f>IF('📇 INVENTARIO'!F87="","",'📇 INVENTARIO'!F87)</f>
        <v>E</v>
      </c>
      <c r="G88" s="72">
        <f>IF('📇 INVENTARIO'!G87="","",'📇 INVENTARIO'!G87)</f>
        <v>272</v>
      </c>
      <c r="H88" s="72">
        <f>IF('📇 INVENTARIO'!H87="","",'📇 INVENTARIO'!H87)</f>
        <v>57</v>
      </c>
      <c r="I88" s="72">
        <f>IF('📇 INVENTARIO'!I87="","",'📇 INVENTARIO'!I87)</f>
        <v>191.5</v>
      </c>
      <c r="J88" s="72">
        <f>IF('📇 INVENTARIO'!J87="","",'📇 INVENTARIO'!J87)</f>
        <v>1965</v>
      </c>
      <c r="K88" s="73">
        <f>IF($C88="","",(G88-'⚙️ SUPUESTOS'!$C$20)/('⚙️ SUPUESTOS'!$C$25-'⚙️ SUPUESTOS'!$C$20))</f>
        <v>0.22203098106712565</v>
      </c>
      <c r="L88" s="73">
        <f>IF($C88="","",VLOOKUP($E88,'📊 SECCIONES'!$B$4:$S$9,16,FALSE()))</f>
        <v>0.54128061278831963</v>
      </c>
      <c r="M88" s="73">
        <f>IF($C88="","",VLOOKUP($E88,'📊 SECCIONES'!$B$4:$S$9,17,FALSE()))</f>
        <v>0.59585492227979275</v>
      </c>
      <c r="N88" s="73">
        <f>IF($C88="","",VLOOKUP($E88,'📊 SECCIONES'!$B$4:$S$9,18,FALSE()))</f>
        <v>0.28636363636363632</v>
      </c>
      <c r="O88" s="74">
        <f>IF($C88="","",ROUND('⚙️ SUPUESTOS'!$C$21*K88+'⚙️ SUPUESTOS'!$C$22*L88+'⚙️ SUPUESTOS'!$C$23*M88+'⚙️ SUPUESTOS'!$C$24*N88,4))</f>
        <v>0.35039999999999999</v>
      </c>
      <c r="P88" s="75">
        <f>IF($C88="","",VLOOKUP($E88,'📊 SECCIONES'!$B$4:$S$9,7,FALSE()))</f>
        <v>39.409999999999997</v>
      </c>
      <c r="Q88" s="76">
        <f>IF($C88="","",VLOOKUP($E88,'📊 SECCIONES'!$B$4:$S$9,8,FALSE()))</f>
        <v>22486</v>
      </c>
      <c r="R88" s="75">
        <f>IF($C88="","",VLOOKUP($E88,'📊 SECCIONES'!$B$4:$S$9,10,FALSE()))</f>
        <v>16.899999999999999</v>
      </c>
      <c r="S88" s="72">
        <f>IF('📇 INVENTARIO'!K87="","",'📇 INVENTARIO'!K87)</f>
        <v>3</v>
      </c>
      <c r="T88" s="77" t="str">
        <f t="shared" si="4"/>
        <v>Objetivo: alcanzar calificación C. Actual: Cal.E. SATE fachada + carpinterías doble + instalación fotovoltaica</v>
      </c>
      <c r="U88" s="70" t="str">
        <f t="shared" si="5"/>
        <v>—</v>
      </c>
      <c r="V88" s="78">
        <f>IF('📇 INVENTARIO'!L87="","",'📇 INVENTARIO'!L87)</f>
        <v>99.7</v>
      </c>
      <c r="W88" s="75">
        <f>IF($C88="","",V88*'⚙️ SUPUESTOS'!$C$8*'⚙️ SUPUESTOS'!$C$9)</f>
        <v>20.937000000000001</v>
      </c>
      <c r="X88" s="78">
        <f>IF('📇 INVENTARIO'!N87="","",'📇 INVENTARIO'!N87)</f>
        <v>1379</v>
      </c>
      <c r="Y88" s="78">
        <f>IF($C88="","",W88*X88*'⚙️ SUPUESTOS'!$C$7)</f>
        <v>25984.910700000004</v>
      </c>
      <c r="Z88" s="76">
        <f>IF($C88="","",W88*'⚙️ SUPUESTOS'!$C$10)</f>
        <v>27950.895</v>
      </c>
      <c r="AA88" s="76">
        <f>IF($C88="","",Y88*('⚙️ SUPUESTOS'!$C$12*'⚙️ SUPUESTOS'!$C$11+(1-'⚙️ SUPUESTOS'!$C$12)*'⚙️ SUPUESTOS'!$C$13))</f>
        <v>1772.1709097400005</v>
      </c>
      <c r="AB88" s="76">
        <f>IF($C88="","",IF(Y88&gt;0,ROUND(Y88*'⚙️ SUPUESTOS'!$C$12*'⚙️ SUPUESTOS'!$C$11,0),""))</f>
        <v>650</v>
      </c>
      <c r="AC88" s="76">
        <f>IF($C88="","",IF(Y88&gt;0,ROUND(Y88*(1-'⚙️ SUPUESTOS'!$C$12)*'⚙️ SUPUESTOS'!$C$13,0),""))</f>
        <v>1123</v>
      </c>
      <c r="AD88" s="76">
        <f t="shared" si="6"/>
        <v>16353</v>
      </c>
      <c r="AE88" s="75">
        <f t="shared" si="7"/>
        <v>15.772121552373717</v>
      </c>
      <c r="AF88" s="70" t="str">
        <f>IF($C88="","",IF(AE88="","—",IF(AE88&lt;='⚙️ SUPUESTOS'!$C$32,"✔ Muy recomendable",IF(AE88&lt;='⚙️ SUPUESTOS'!$C$33,"✔ Recomendable","Valorar"))))</f>
        <v>✔ Recomendable</v>
      </c>
      <c r="AG88" s="79">
        <f>IF('📇 INVENTARIO'!O89="","",'📇 INVENTARIO'!O89)</f>
        <v>41.650640000000003</v>
      </c>
      <c r="AH88" s="79">
        <f>IF('📇 INVENTARIO'!P89="","",'📇 INVENTARIO'!P89)</f>
        <v>-4.7103000000000002</v>
      </c>
    </row>
    <row r="89" spans="1:34" ht="45" customHeight="1">
      <c r="A89" s="69">
        <f>IF($C89="","",RANK(O89,$O$3:$O$265,0)+COUNTIF($O$3:O89,O89)-1)</f>
        <v>87</v>
      </c>
      <c r="B89" s="70" t="str">
        <f>IF($C89="","",IF(A89&lt;='⚙️ SUPUESTOS'!$C$29,"Fase 1",IF(A89&lt;='⚙️ SUPUESTOS'!$C$30,"Fase 2","Fase 3")))</f>
        <v>Fase 2</v>
      </c>
      <c r="C89" s="71" t="str">
        <f>IF('📇 INVENTARIO'!B89="","",'📇 INVENTARIO'!B89)</f>
        <v>C/ Salud, 22</v>
      </c>
      <c r="D89" s="70" t="str">
        <f>IF('📇 INVENTARIO'!C89="","",'📇 INVENTARIO'!C89)</f>
        <v>7726415UM5172F</v>
      </c>
      <c r="E89" s="70" t="str">
        <f>IF('📇 INVENTARIO'!D89="","",'📇 INVENTARIO'!D89)</f>
        <v>4718606023</v>
      </c>
      <c r="F89" s="70" t="str">
        <f>IF('📇 INVENTARIO'!F89="","",'📇 INVENTARIO'!F89)</f>
        <v>E</v>
      </c>
      <c r="G89" s="72">
        <f>IF('📇 INVENTARIO'!G89="","",'📇 INVENTARIO'!G89)</f>
        <v>270</v>
      </c>
      <c r="H89" s="72">
        <f>IF('📇 INVENTARIO'!H89="","",'📇 INVENTARIO'!H89)</f>
        <v>57.5</v>
      </c>
      <c r="I89" s="72">
        <f>IF('📇 INVENTARIO'!I89="","",'📇 INVENTARIO'!I89)</f>
        <v>143.19999999999999</v>
      </c>
      <c r="J89" s="72">
        <f>IF('📇 INVENTARIO'!J89="","",'📇 INVENTARIO'!J89)</f>
        <v>1964</v>
      </c>
      <c r="K89" s="73">
        <f>IF($C89="","",(G89-'⚙️ SUPUESTOS'!$C$20)/('⚙️ SUPUESTOS'!$C$25-'⚙️ SUPUESTOS'!$C$20))</f>
        <v>0.21858864027538727</v>
      </c>
      <c r="L89" s="73">
        <f>IF($C89="","",VLOOKUP($E89,'📊 SECCIONES'!$B$4:$S$9,16,FALSE()))</f>
        <v>0.54128061278831963</v>
      </c>
      <c r="M89" s="73">
        <f>IF($C89="","",VLOOKUP($E89,'📊 SECCIONES'!$B$4:$S$9,17,FALSE()))</f>
        <v>0.59585492227979275</v>
      </c>
      <c r="N89" s="73">
        <f>IF($C89="","",VLOOKUP($E89,'📊 SECCIONES'!$B$4:$S$9,18,FALSE()))</f>
        <v>0.28636363636363632</v>
      </c>
      <c r="O89" s="74">
        <f>IF($C89="","",ROUND('⚙️ SUPUESTOS'!$C$21*K89+'⚙️ SUPUESTOS'!$C$22*L89+'⚙️ SUPUESTOS'!$C$23*M89+'⚙️ SUPUESTOS'!$C$24*N89,4))</f>
        <v>0.34849999999999998</v>
      </c>
      <c r="P89" s="75">
        <f>IF($C89="","",VLOOKUP($E89,'📊 SECCIONES'!$B$4:$S$9,7,FALSE()))</f>
        <v>39.409999999999997</v>
      </c>
      <c r="Q89" s="76">
        <f>IF($C89="","",VLOOKUP($E89,'📊 SECCIONES'!$B$4:$S$9,8,FALSE()))</f>
        <v>22486</v>
      </c>
      <c r="R89" s="75">
        <f>IF($C89="","",VLOOKUP($E89,'📊 SECCIONES'!$B$4:$S$9,10,FALSE()))</f>
        <v>16.899999999999999</v>
      </c>
      <c r="S89" s="72">
        <f>IF('📇 INVENTARIO'!K89="","",'📇 INVENTARIO'!K89)</f>
        <v>5</v>
      </c>
      <c r="T89" s="77" t="str">
        <f t="shared" si="4"/>
        <v>Objetivo: alcanzar calificación C. Actual: Cal.E. SATE fachada + carpinterías doble + instalación fotovoltaica</v>
      </c>
      <c r="U89" s="70" t="str">
        <f t="shared" si="5"/>
        <v>Valorar ascensor (verificar)</v>
      </c>
      <c r="V89" s="78">
        <f>IF('📇 INVENTARIO'!L89="","",'📇 INVENTARIO'!L89)</f>
        <v>263.89999999999998</v>
      </c>
      <c r="W89" s="75">
        <f>IF($C89="","",V89*'⚙️ SUPUESTOS'!$C$8*'⚙️ SUPUESTOS'!$C$9)</f>
        <v>55.41899999999999</v>
      </c>
      <c r="X89" s="78">
        <f>IF('📇 INVENTARIO'!N89="","",'📇 INVENTARIO'!N89)</f>
        <v>1414</v>
      </c>
      <c r="Y89" s="78">
        <f>IF($C89="","",W89*X89*'⚙️ SUPUESTOS'!$C$7)</f>
        <v>70526.219399999987</v>
      </c>
      <c r="Z89" s="76">
        <f>IF($C89="","",W89*'⚙️ SUPUESTOS'!$C$10)</f>
        <v>73984.364999999991</v>
      </c>
      <c r="AA89" s="76">
        <f>IF($C89="","",Y89*('⚙️ SUPUESTOS'!$C$12*'⚙️ SUPUESTOS'!$C$11+(1-'⚙️ SUPUESTOS'!$C$12)*'⚙️ SUPUESTOS'!$C$13))</f>
        <v>4809.8881630799997</v>
      </c>
      <c r="AB89" s="76">
        <f>IF($C89="","",IF(Y89&gt;0,ROUND(Y89*'⚙️ SUPUESTOS'!$C$12*'⚙️ SUPUESTOS'!$C$11,0),""))</f>
        <v>1763</v>
      </c>
      <c r="AC89" s="76">
        <f>IF($C89="","",IF(Y89&gt;0,ROUND(Y89*(1-'⚙️ SUPUESTOS'!$C$12)*'⚙️ SUPUESTOS'!$C$13,0),""))</f>
        <v>3047</v>
      </c>
      <c r="AD89" s="65">
        <f t="shared" si="6"/>
        <v>46263</v>
      </c>
      <c r="AE89" s="64">
        <f t="shared" si="7"/>
        <v>15.381722504047639</v>
      </c>
      <c r="AF89" s="59" t="str">
        <f>IF($C89="","",IF(AE89="","—",IF(AE89&lt;='⚙️ SUPUESTOS'!$C$32,"✔ Muy recomendable",IF(AE89&lt;='⚙️ SUPUESTOS'!$C$33,"✔ Recomendable","Valorar"))))</f>
        <v>✔ Recomendable</v>
      </c>
      <c r="AG89" s="68">
        <f>IF('📇 INVENTARIO'!O90="","",'📇 INVENTARIO'!O90)</f>
        <v>41.647863999999998</v>
      </c>
      <c r="AH89" s="68">
        <f>IF('📇 INVENTARIO'!P90="","",'📇 INVENTARIO'!P90)</f>
        <v>-4.711017</v>
      </c>
    </row>
    <row r="90" spans="1:34" ht="45" customHeight="1">
      <c r="A90" s="69">
        <f>IF($C90="","",RANK(O90,$O$3:$O$265,0)+COUNTIF($O$3:O90,O90)-1)</f>
        <v>88</v>
      </c>
      <c r="B90" s="70" t="str">
        <f>IF($C90="","",IF(A90&lt;='⚙️ SUPUESTOS'!$C$29,"Fase 1",IF(A90&lt;='⚙️ SUPUESTOS'!$C$30,"Fase 2","Fase 3")))</f>
        <v>Fase 2</v>
      </c>
      <c r="C90" s="71" t="str">
        <f>IF('📇 INVENTARIO'!B91="","",'📇 INVENTARIO'!B91)</f>
        <v>Pso. del Cauce, 86</v>
      </c>
      <c r="D90" s="70" t="str">
        <f>IF('📇 INVENTARIO'!C91="","",'📇 INVENTARIO'!C91)</f>
        <v>7726401UM5172F</v>
      </c>
      <c r="E90" s="70" t="str">
        <f>IF('📇 INVENTARIO'!D91="","",'📇 INVENTARIO'!D91)</f>
        <v>4718606023</v>
      </c>
      <c r="F90" s="70" t="str">
        <f>IF('📇 INVENTARIO'!F91="","",'📇 INVENTARIO'!F91)</f>
        <v>E</v>
      </c>
      <c r="G90" s="72">
        <f>IF('📇 INVENTARIO'!G91="","",'📇 INVENTARIO'!G91)</f>
        <v>268</v>
      </c>
      <c r="H90" s="72">
        <f>IF('📇 INVENTARIO'!H91="","",'📇 INVENTARIO'!H91)</f>
        <v>57</v>
      </c>
      <c r="I90" s="72">
        <f>IF('📇 INVENTARIO'!I91="","",'📇 INVENTARIO'!I91)</f>
        <v>132.4</v>
      </c>
      <c r="J90" s="72">
        <f>IF('📇 INVENTARIO'!J91="","",'📇 INVENTARIO'!J91)</f>
        <v>1965</v>
      </c>
      <c r="K90" s="73">
        <f>IF($C90="","",(G90-'⚙️ SUPUESTOS'!$C$20)/('⚙️ SUPUESTOS'!$C$25-'⚙️ SUPUESTOS'!$C$20))</f>
        <v>0.21514629948364888</v>
      </c>
      <c r="L90" s="73">
        <f>IF($C90="","",VLOOKUP($E90,'📊 SECCIONES'!$B$4:$S$9,16,FALSE()))</f>
        <v>0.54128061278831963</v>
      </c>
      <c r="M90" s="73">
        <f>IF($C90="","",VLOOKUP($E90,'📊 SECCIONES'!$B$4:$S$9,17,FALSE()))</f>
        <v>0.59585492227979275</v>
      </c>
      <c r="N90" s="73">
        <f>IF($C90="","",VLOOKUP($E90,'📊 SECCIONES'!$B$4:$S$9,18,FALSE()))</f>
        <v>0.28636363636363632</v>
      </c>
      <c r="O90" s="74">
        <f>IF($C90="","",ROUND('⚙️ SUPUESTOS'!$C$21*K90+'⚙️ SUPUESTOS'!$C$22*L90+'⚙️ SUPUESTOS'!$C$23*M90+'⚙️ SUPUESTOS'!$C$24*N90,4))</f>
        <v>0.34660000000000002</v>
      </c>
      <c r="P90" s="75">
        <f>IF($C90="","",VLOOKUP($E90,'📊 SECCIONES'!$B$4:$S$9,7,FALSE()))</f>
        <v>39.409999999999997</v>
      </c>
      <c r="Q90" s="76">
        <f>IF($C90="","",VLOOKUP($E90,'📊 SECCIONES'!$B$4:$S$9,8,FALSE()))</f>
        <v>22486</v>
      </c>
      <c r="R90" s="75">
        <f>IF($C90="","",VLOOKUP($E90,'📊 SECCIONES'!$B$4:$S$9,10,FALSE()))</f>
        <v>16.899999999999999</v>
      </c>
      <c r="S90" s="72">
        <f>IF('📇 INVENTARIO'!K91="","",'📇 INVENTARIO'!K91)</f>
        <v>5</v>
      </c>
      <c r="T90" s="77" t="str">
        <f t="shared" si="4"/>
        <v>Objetivo: alcanzar calificación C. Actual: Cal.E. SATE fachada + carpinterías doble + instalación fotovoltaica</v>
      </c>
      <c r="U90" s="70" t="str">
        <f t="shared" si="5"/>
        <v>Valorar ascensor (verificar)</v>
      </c>
      <c r="V90" s="78">
        <f>IF('📇 INVENTARIO'!L91="","",'📇 INVENTARIO'!L91)</f>
        <v>381.2</v>
      </c>
      <c r="W90" s="75">
        <f>IF($C90="","",V90*'⚙️ SUPUESTOS'!$C$8*'⚙️ SUPUESTOS'!$C$9)</f>
        <v>80.051999999999992</v>
      </c>
      <c r="X90" s="78">
        <f>IF('📇 INVENTARIO'!N91="","",'📇 INVENTARIO'!N91)</f>
        <v>1370</v>
      </c>
      <c r="Y90" s="78">
        <f>IF($C90="","",W90*X90*'⚙️ SUPUESTOS'!$C$7)</f>
        <v>98704.115999999995</v>
      </c>
      <c r="Z90" s="76">
        <f>IF($C90="","",W90*'⚙️ SUPUESTOS'!$C$10)</f>
        <v>106869.41999999998</v>
      </c>
      <c r="AA90" s="76">
        <f>IF($C90="","",Y90*('⚙️ SUPUESTOS'!$C$12*'⚙️ SUPUESTOS'!$C$11+(1-'⚙️ SUPUESTOS'!$C$12)*'⚙️ SUPUESTOS'!$C$13))</f>
        <v>6731.6207112000011</v>
      </c>
      <c r="AB90" s="76">
        <f>IF($C90="","",IF(Y90&gt;0,ROUND(Y90*'⚙️ SUPUESTOS'!$C$12*'⚙️ SUPUESTOS'!$C$11,0),""))</f>
        <v>2468</v>
      </c>
      <c r="AC90" s="76">
        <f>IF($C90="","",IF(Y90&gt;0,ROUND(Y90*(1-'⚙️ SUPUESTOS'!$C$12)*'⚙️ SUPUESTOS'!$C$13,0),""))</f>
        <v>4264</v>
      </c>
      <c r="AD90" s="76">
        <f t="shared" si="6"/>
        <v>61421</v>
      </c>
      <c r="AE90" s="75">
        <f t="shared" si="7"/>
        <v>15.875734029725077</v>
      </c>
      <c r="AF90" s="70" t="str">
        <f>IF($C90="","",IF(AE90="","—",IF(AE90&lt;='⚙️ SUPUESTOS'!$C$32,"✔ Muy recomendable",IF(AE90&lt;='⚙️ SUPUESTOS'!$C$33,"✔ Recomendable","Valorar"))))</f>
        <v>✔ Recomendable</v>
      </c>
      <c r="AG90" s="79">
        <f>IF('📇 INVENTARIO'!O91="","",'📇 INVENTARIO'!O91)</f>
        <v>41.650730000000003</v>
      </c>
      <c r="AH90" s="79">
        <f>IF('📇 INVENTARIO'!P91="","",'📇 INVENTARIO'!P91)</f>
        <v>-4.7097899999999999</v>
      </c>
    </row>
    <row r="91" spans="1:34" ht="45" customHeight="1">
      <c r="A91" s="58">
        <f>IF($C91="","",RANK(O91,$O$3:$O$265,0)+COUNTIF($O$3:O91,O91)-1)</f>
        <v>89</v>
      </c>
      <c r="B91" s="59" t="str">
        <f>IF($C91="","",IF(A91&lt;='⚙️ SUPUESTOS'!$C$29,"Fase 1",IF(A91&lt;='⚙️ SUPUESTOS'!$C$30,"Fase 2","Fase 3")))</f>
        <v>Fase 2</v>
      </c>
      <c r="C91" s="60" t="str">
        <f>IF('📇 INVENTARIO'!B92="","",'📇 INVENTARIO'!B92)</f>
        <v>C/ Cigüeña, 35</v>
      </c>
      <c r="D91" s="59" t="str">
        <f>IF('📇 INVENTARIO'!C92="","",'📇 INVENTARIO'!C92)</f>
        <v>7723404UM5172D</v>
      </c>
      <c r="E91" s="59" t="str">
        <f>IF('📇 INVENTARIO'!D92="","",'📇 INVENTARIO'!D92)</f>
        <v>4718606028</v>
      </c>
      <c r="F91" s="59" t="str">
        <f>IF('📇 INVENTARIO'!F92="","",'📇 INVENTARIO'!F92)</f>
        <v>F</v>
      </c>
      <c r="G91" s="61">
        <f>IF('📇 INVENTARIO'!G92="","",'📇 INVENTARIO'!G92)</f>
        <v>334</v>
      </c>
      <c r="H91" s="61">
        <f>IF('📇 INVENTARIO'!H92="","",'📇 INVENTARIO'!H92)</f>
        <v>64</v>
      </c>
      <c r="I91" s="61">
        <f>IF('📇 INVENTARIO'!I92="","",'📇 INVENTARIO'!I92)</f>
        <v>177.1</v>
      </c>
      <c r="J91" s="61">
        <f>IF('📇 INVENTARIO'!J92="","",'📇 INVENTARIO'!J92)</f>
        <v>1965</v>
      </c>
      <c r="K91" s="62">
        <f>IF($C91="","",(G91-'⚙️ SUPUESTOS'!$C$20)/('⚙️ SUPUESTOS'!$C$25-'⚙️ SUPUESTOS'!$C$20))</f>
        <v>0.32874354561101549</v>
      </c>
      <c r="L91" s="62">
        <f>IF($C91="","",VLOOKUP($E91,'📊 SECCIONES'!$B$4:$S$9,16,FALSE()))</f>
        <v>0.24395028956990591</v>
      </c>
      <c r="M91" s="62">
        <f>IF($C91="","",VLOOKUP($E91,'📊 SECCIONES'!$B$4:$S$9,17,FALSE()))</f>
        <v>0.34507772020725386</v>
      </c>
      <c r="N91" s="62">
        <f>IF($C91="","",VLOOKUP($E91,'📊 SECCIONES'!$B$4:$S$9,18,FALSE()))</f>
        <v>0.70909090909090911</v>
      </c>
      <c r="O91" s="63">
        <f>IF($C91="","",ROUND('⚙️ SUPUESTOS'!$C$21*K91+'⚙️ SUPUESTOS'!$C$22*L91+'⚙️ SUPUESTOS'!$C$23*M91+'⚙️ SUPUESTOS'!$C$24*N91,4))</f>
        <v>0.34660000000000002</v>
      </c>
      <c r="P91" s="64">
        <f>IF($C91="","",VLOOKUP($E91,'📊 SECCIONES'!$B$4:$S$9,7,FALSE()))</f>
        <v>29.81</v>
      </c>
      <c r="Q91" s="65">
        <f>IF($C91="","",VLOOKUP($E91,'📊 SECCIONES'!$B$4:$S$9,8,FALSE()))</f>
        <v>23665</v>
      </c>
      <c r="R91" s="64">
        <f>IF($C91="","",VLOOKUP($E91,'📊 SECCIONES'!$B$4:$S$9,10,FALSE()))</f>
        <v>26.2</v>
      </c>
      <c r="S91" s="61">
        <f>IF('📇 INVENTARIO'!K92="","",'📇 INVENTARIO'!K92)</f>
        <v>5</v>
      </c>
      <c r="T91" s="66" t="str">
        <f t="shared" si="4"/>
        <v>Objetivo: alcanzar calificación C. Actual: Cal.F. SATE integral + cubierta + carpinterías triple + aerotermia + instalación fotovoltaica</v>
      </c>
      <c r="U91" s="59" t="str">
        <f t="shared" si="5"/>
        <v>Valorar ascensor (verificar)</v>
      </c>
      <c r="V91" s="67">
        <f>IF('📇 INVENTARIO'!L92="","",'📇 INVENTARIO'!L92)</f>
        <v>150</v>
      </c>
      <c r="W91" s="64">
        <f>IF($C91="","",V91*'⚙️ SUPUESTOS'!$C$8*'⚙️ SUPUESTOS'!$C$9)</f>
        <v>31.5</v>
      </c>
      <c r="X91" s="67">
        <f>IF('📇 INVENTARIO'!N92="","",'📇 INVENTARIO'!N92)</f>
        <v>1388</v>
      </c>
      <c r="Y91" s="67">
        <f>IF($C91="","",W91*X91*'⚙️ SUPUESTOS'!$C$7)</f>
        <v>39349.800000000003</v>
      </c>
      <c r="Z91" s="65">
        <f>IF($C91="","",W91*'⚙️ SUPUESTOS'!$C$10)</f>
        <v>42052.5</v>
      </c>
      <c r="AA91" s="65">
        <f>IF($C91="","",Y91*('⚙️ SUPUESTOS'!$C$12*'⚙️ SUPUESTOS'!$C$11+(1-'⚙️ SUPUESTOS'!$C$12)*'⚙️ SUPUESTOS'!$C$13))</f>
        <v>2683.6563600000004</v>
      </c>
      <c r="AB91" s="65">
        <f>IF($C91="","",IF(Y91&gt;0,ROUND(Y91*'⚙️ SUPUESTOS'!$C$12*'⚙️ SUPUESTOS'!$C$11,0),""))</f>
        <v>984</v>
      </c>
      <c r="AC91" s="65">
        <f>IF($C91="","",IF(Y91&gt;0,ROUND(Y91*(1-'⚙️ SUPUESTOS'!$C$12)*'⚙️ SUPUESTOS'!$C$13,0),""))</f>
        <v>1700</v>
      </c>
      <c r="AD91" s="65">
        <f t="shared" si="6"/>
        <v>25039</v>
      </c>
      <c r="AE91" s="64">
        <f t="shared" si="7"/>
        <v>15.669852752682536</v>
      </c>
      <c r="AF91" s="59" t="str">
        <f>IF($C91="","",IF(AE91="","—",IF(AE91&lt;='⚙️ SUPUESTOS'!$C$32,"✔ Muy recomendable",IF(AE91&lt;='⚙️ SUPUESTOS'!$C$33,"✔ Recomendable","Valorar"))))</f>
        <v>✔ Recomendable</v>
      </c>
      <c r="AG91" s="68">
        <f>IF('📇 INVENTARIO'!O92="","",'📇 INVENTARIO'!O92)</f>
        <v>41.647799999999997</v>
      </c>
      <c r="AH91" s="68">
        <f>IF('📇 INVENTARIO'!P92="","",'📇 INVENTARIO'!P92)</f>
        <v>-4.7093400000000001</v>
      </c>
    </row>
    <row r="92" spans="1:34" ht="45" customHeight="1">
      <c r="A92" s="58">
        <f>IF($C92="","",RANK(O92,$O$3:$O$265,0)+COUNTIF($O$3:O92,O92)-1)</f>
        <v>90</v>
      </c>
      <c r="B92" s="59" t="str">
        <f>IF($C92="","",IF(A92&lt;='⚙️ SUPUESTOS'!$C$29,"Fase 1",IF(A92&lt;='⚙️ SUPUESTOS'!$C$30,"Fase 2","Fase 3")))</f>
        <v>Fase 2</v>
      </c>
      <c r="C92" s="60" t="str">
        <f>IF('📇 INVENTARIO'!B94="","",'📇 INVENTARIO'!B94)</f>
        <v>C/ Faisán, 8</v>
      </c>
      <c r="D92" s="59" t="str">
        <f>IF('📇 INVENTARIO'!C94="","",'📇 INVENTARIO'!C94)</f>
        <v>7723701UM5172D</v>
      </c>
      <c r="E92" s="59" t="str">
        <f>IF('📇 INVENTARIO'!D94="","",'📇 INVENTARIO'!D94)</f>
        <v>4718606027</v>
      </c>
      <c r="F92" s="59" t="str">
        <f>IF('📇 INVENTARIO'!F94="","",'📇 INVENTARIO'!F94)</f>
        <v>G</v>
      </c>
      <c r="G92" s="61">
        <f>IF('📇 INVENTARIO'!G94="","",'📇 INVENTARIO'!G94)</f>
        <v>328</v>
      </c>
      <c r="H92" s="61">
        <f>IF('📇 INVENTARIO'!H94="","",'📇 INVENTARIO'!H94)</f>
        <v>59.5</v>
      </c>
      <c r="I92" s="61">
        <f>IF('📇 INVENTARIO'!I94="","",'📇 INVENTARIO'!I94)</f>
        <v>141.69999999999999</v>
      </c>
      <c r="J92" s="61">
        <f>IF('📇 INVENTARIO'!J94="","",'📇 INVENTARIO'!J94)</f>
        <v>1963</v>
      </c>
      <c r="K92" s="62">
        <f>IF($C92="","",(G92-'⚙️ SUPUESTOS'!$C$20)/('⚙️ SUPUESTOS'!$C$25-'⚙️ SUPUESTOS'!$C$20))</f>
        <v>0.31841652323580033</v>
      </c>
      <c r="L92" s="62">
        <f>IF($C92="","",VLOOKUP($E92,'📊 SECCIONES'!$B$4:$S$9,16,FALSE()))</f>
        <v>0.19481959841367916</v>
      </c>
      <c r="M92" s="62">
        <f>IF($C92="","",VLOOKUP($E92,'📊 SECCIONES'!$B$4:$S$9,17,FALSE()))</f>
        <v>0.2663212435233161</v>
      </c>
      <c r="N92" s="62">
        <f>IF($C92="","",VLOOKUP($E92,'📊 SECCIONES'!$B$4:$S$9,18,FALSE()))</f>
        <v>1</v>
      </c>
      <c r="O92" s="63">
        <f>IF($C92="","",ROUND('⚙️ SUPUESTOS'!$C$21*K92+'⚙️ SUPUESTOS'!$C$22*L92+'⚙️ SUPUESTOS'!$C$23*M92+'⚙️ SUPUESTOS'!$C$24*N92,4))</f>
        <v>0.3453</v>
      </c>
      <c r="P92" s="64">
        <f>IF($C92="","",VLOOKUP($E92,'📊 SECCIONES'!$B$4:$S$9,7,FALSE()))</f>
        <v>24.5</v>
      </c>
      <c r="Q92" s="65">
        <f>IF($C92="","",VLOOKUP($E92,'📊 SECCIONES'!$B$4:$S$9,8,FALSE()))</f>
        <v>25206</v>
      </c>
      <c r="R92" s="64">
        <f>IF($C92="","",VLOOKUP($E92,'📊 SECCIONES'!$B$4:$S$9,10,FALSE()))</f>
        <v>32.6</v>
      </c>
      <c r="S92" s="61">
        <f>IF('📇 INVENTARIO'!K94="","",'📇 INVENTARIO'!K94)</f>
        <v>5</v>
      </c>
      <c r="T92" s="66" t="str">
        <f t="shared" si="4"/>
        <v>Objetivo: alcanzar calificación C. Actual: Cal.G. SATE integral + cubierta + carpinterías triple + aerotermia + instalación fotovoltaica</v>
      </c>
      <c r="U92" s="59" t="str">
        <f t="shared" si="5"/>
        <v>Valorar ascensor (verificar)</v>
      </c>
      <c r="V92" s="67">
        <f>IF('📇 INVENTARIO'!L94="","",'📇 INVENTARIO'!L94)</f>
        <v>157</v>
      </c>
      <c r="W92" s="64">
        <f>IF($C92="","",V92*'⚙️ SUPUESTOS'!$C$8*'⚙️ SUPUESTOS'!$C$9)</f>
        <v>32.97</v>
      </c>
      <c r="X92" s="67">
        <f>IF('📇 INVENTARIO'!N94="","",'📇 INVENTARIO'!N94)</f>
        <v>1464</v>
      </c>
      <c r="Y92" s="67">
        <f>IF($C92="","",W92*X92*'⚙️ SUPUESTOS'!$C$7)</f>
        <v>43441.272000000004</v>
      </c>
      <c r="Z92" s="65">
        <f>IF($C92="","",W92*'⚙️ SUPUESTOS'!$C$10)</f>
        <v>44014.95</v>
      </c>
      <c r="AA92" s="65">
        <f>IF($C92="","",Y92*('⚙️ SUPUESTOS'!$C$12*'⚙️ SUPUESTOS'!$C$11+(1-'⚙️ SUPUESTOS'!$C$12)*'⚙️ SUPUESTOS'!$C$13))</f>
        <v>2962.6947504000009</v>
      </c>
      <c r="AB92" s="65">
        <f>IF($C92="","",IF(Y92&gt;0,ROUND(Y92*'⚙️ SUPUESTOS'!$C$12*'⚙️ SUPUESTOS'!$C$11,0),""))</f>
        <v>1086</v>
      </c>
      <c r="AC92" s="65">
        <f>IF($C92="","",IF(Y92&gt;0,ROUND(Y92*(1-'⚙️ SUPUESTOS'!$C$12)*'⚙️ SUPUESTOS'!$C$13,0),""))</f>
        <v>1877</v>
      </c>
      <c r="AD92" s="76">
        <f t="shared" si="6"/>
        <v>30052</v>
      </c>
      <c r="AE92" s="75">
        <f t="shared" si="7"/>
        <v>14.856390451313766</v>
      </c>
      <c r="AF92" s="70" t="str">
        <f>IF($C92="","",IF(AE92="","—",IF(AE92&lt;='⚙️ SUPUESTOS'!$C$32,"✔ Muy recomendable",IF(AE92&lt;='⚙️ SUPUESTOS'!$C$33,"✔ Recomendable","Valorar"))))</f>
        <v>✔ Muy recomendable</v>
      </c>
      <c r="AG92" s="79">
        <f>IF('📇 INVENTARIO'!O93="","",'📇 INVENTARIO'!O93)</f>
        <v>41.650530000000003</v>
      </c>
      <c r="AH92" s="79">
        <f>IF('📇 INVENTARIO'!P93="","",'📇 INVENTARIO'!P93)</f>
        <v>-4.7087500000000002</v>
      </c>
    </row>
    <row r="93" spans="1:34" ht="45" customHeight="1">
      <c r="A93" s="69">
        <f>IF($C93="","",RANK(O93,$O$3:$O$265,0)+COUNTIF($O$3:O93,O93)-1)</f>
        <v>91</v>
      </c>
      <c r="B93" s="70" t="str">
        <f>IF($C93="","",IF(A93&lt;='⚙️ SUPUESTOS'!$C$29,"Fase 1",IF(A93&lt;='⚙️ SUPUESTOS'!$C$30,"Fase 2","Fase 3")))</f>
        <v>Fase 2</v>
      </c>
      <c r="C93" s="71" t="str">
        <f>IF('📇 INVENTARIO'!B93="","",'📇 INVENTARIO'!B93)</f>
        <v>C/ Cisne, 11</v>
      </c>
      <c r="D93" s="70" t="str">
        <f>IF('📇 INVENTARIO'!C93="","",'📇 INVENTARIO'!C93)</f>
        <v>7825701UM5172F</v>
      </c>
      <c r="E93" s="70" t="str">
        <f>IF('📇 INVENTARIO'!D93="","",'📇 INVENTARIO'!D93)</f>
        <v>4718606023</v>
      </c>
      <c r="F93" s="70" t="str">
        <f>IF('📇 INVENTARIO'!F93="","",'📇 INVENTARIO'!F93)</f>
        <v>E</v>
      </c>
      <c r="G93" s="72">
        <f>IF('📇 INVENTARIO'!G93="","",'📇 INVENTARIO'!G93)</f>
        <v>264</v>
      </c>
      <c r="H93" s="72">
        <f>IF('📇 INVENTARIO'!H93="","",'📇 INVENTARIO'!H93)</f>
        <v>55.5</v>
      </c>
      <c r="I93" s="72">
        <f>IF('📇 INVENTARIO'!I93="","",'📇 INVENTARIO'!I93)</f>
        <v>143</v>
      </c>
      <c r="J93" s="72">
        <f>IF('📇 INVENTARIO'!J93="","",'📇 INVENTARIO'!J93)</f>
        <v>1976</v>
      </c>
      <c r="K93" s="73">
        <f>IF($C93="","",(G93-'⚙️ SUPUESTOS'!$C$20)/('⚙️ SUPUESTOS'!$C$25-'⚙️ SUPUESTOS'!$C$20))</f>
        <v>0.20826161790017211</v>
      </c>
      <c r="L93" s="73">
        <f>IF($C93="","",VLOOKUP($E93,'📊 SECCIONES'!$B$4:$S$9,16,FALSE()))</f>
        <v>0.54128061278831963</v>
      </c>
      <c r="M93" s="73">
        <f>IF($C93="","",VLOOKUP($E93,'📊 SECCIONES'!$B$4:$S$9,17,FALSE()))</f>
        <v>0.59585492227979275</v>
      </c>
      <c r="N93" s="73">
        <f>IF($C93="","",VLOOKUP($E93,'📊 SECCIONES'!$B$4:$S$9,18,FALSE()))</f>
        <v>0.28636363636363632</v>
      </c>
      <c r="O93" s="74">
        <f>IF($C93="","",ROUND('⚙️ SUPUESTOS'!$C$21*K93+'⚙️ SUPUESTOS'!$C$22*L93+'⚙️ SUPUESTOS'!$C$23*M93+'⚙️ SUPUESTOS'!$C$24*N93,4))</f>
        <v>0.34279999999999999</v>
      </c>
      <c r="P93" s="75">
        <f>IF($C93="","",VLOOKUP($E93,'📊 SECCIONES'!$B$4:$S$9,7,FALSE()))</f>
        <v>39.409999999999997</v>
      </c>
      <c r="Q93" s="76">
        <f>IF($C93="","",VLOOKUP($E93,'📊 SECCIONES'!$B$4:$S$9,8,FALSE()))</f>
        <v>22486</v>
      </c>
      <c r="R93" s="75">
        <f>IF($C93="","",VLOOKUP($E93,'📊 SECCIONES'!$B$4:$S$9,10,FALSE()))</f>
        <v>16.899999999999999</v>
      </c>
      <c r="S93" s="72">
        <f>IF('📇 INVENTARIO'!K93="","",'📇 INVENTARIO'!K93)</f>
        <v>6</v>
      </c>
      <c r="T93" s="77" t="str">
        <f t="shared" si="4"/>
        <v>Objetivo: alcanzar calificación C. Actual: Cal.E. SATE fachada + carpinterías doble + instalación fotovoltaica</v>
      </c>
      <c r="U93" s="70" t="str">
        <f t="shared" si="5"/>
        <v>Valorar ascensor (verificar)</v>
      </c>
      <c r="V93" s="78">
        <f>IF('📇 INVENTARIO'!L93="","",'📇 INVENTARIO'!L93)</f>
        <v>283.89999999999998</v>
      </c>
      <c r="W93" s="75">
        <f>IF($C93="","",V93*'⚙️ SUPUESTOS'!$C$8*'⚙️ SUPUESTOS'!$C$9)</f>
        <v>59.618999999999993</v>
      </c>
      <c r="X93" s="78">
        <f>IF('📇 INVENTARIO'!N93="","",'📇 INVENTARIO'!N93)</f>
        <v>1410</v>
      </c>
      <c r="Y93" s="78">
        <f>IF($C93="","",W93*X93*'⚙️ SUPUESTOS'!$C$7)</f>
        <v>75656.510999999999</v>
      </c>
      <c r="Z93" s="76">
        <f>IF($C93="","",W93*'⚙️ SUPUESTOS'!$C$10)</f>
        <v>79591.364999999991</v>
      </c>
      <c r="AA93" s="76">
        <f>IF($C93="","",Y93*('⚙️ SUPUESTOS'!$C$12*'⚙️ SUPUESTOS'!$C$11+(1-'⚙️ SUPUESTOS'!$C$12)*'⚙️ SUPUESTOS'!$C$13))</f>
        <v>5159.7740502000006</v>
      </c>
      <c r="AB93" s="76">
        <f>IF($C93="","",IF(Y93&gt;0,ROUND(Y93*'⚙️ SUPUESTOS'!$C$12*'⚙️ SUPUESTOS'!$C$11,0),""))</f>
        <v>1891</v>
      </c>
      <c r="AC93" s="76">
        <f>IF($C93="","",IF(Y93&gt;0,ROUND(Y93*(1-'⚙️ SUPUESTOS'!$C$12)*'⚙️ SUPUESTOS'!$C$13,0),""))</f>
        <v>3268</v>
      </c>
      <c r="AD93" s="65">
        <f t="shared" si="6"/>
        <v>49403</v>
      </c>
      <c r="AE93" s="64">
        <f t="shared" si="7"/>
        <v>15.4253585962577</v>
      </c>
      <c r="AF93" s="59" t="str">
        <f>IF($C93="","",IF(AE93="","—",IF(AE93&lt;='⚙️ SUPUESTOS'!$C$32,"✔ Muy recomendable",IF(AE93&lt;='⚙️ SUPUESTOS'!$C$33,"✔ Recomendable","Valorar"))))</f>
        <v>✔ Recomendable</v>
      </c>
      <c r="AG93" s="68">
        <f>IF('📇 INVENTARIO'!O94="","",'📇 INVENTARIO'!O94)</f>
        <v>41.648409999999998</v>
      </c>
      <c r="AH93" s="68">
        <f>IF('📇 INVENTARIO'!P94="","",'📇 INVENTARIO'!P94)</f>
        <v>-4.71007</v>
      </c>
    </row>
    <row r="94" spans="1:34" ht="45" customHeight="1">
      <c r="A94" s="58">
        <f>IF($C94="","",RANK(O94,$O$3:$O$265,0)+COUNTIF($O$3:O94,O94)-1)</f>
        <v>92</v>
      </c>
      <c r="B94" s="59" t="str">
        <f>IF($C94="","",IF(A94&lt;='⚙️ SUPUESTOS'!$C$29,"Fase 1",IF(A94&lt;='⚙️ SUPUESTOS'!$C$30,"Fase 2","Fase 3")))</f>
        <v>Fase 2</v>
      </c>
      <c r="C94" s="60" t="str">
        <f>IF('📇 INVENTARIO'!B96="","",'📇 INVENTARIO'!B96)</f>
        <v>C/ Pavo Real, 1</v>
      </c>
      <c r="D94" s="59" t="str">
        <f>IF('📇 INVENTARIO'!C96="","",'📇 INVENTARIO'!C96)</f>
        <v>7623801UM5172D</v>
      </c>
      <c r="E94" s="59" t="str">
        <f>IF('📇 INVENTARIO'!D96="","",'📇 INVENTARIO'!D96)</f>
        <v>4718606027</v>
      </c>
      <c r="F94" s="59" t="str">
        <f>IF('📇 INVENTARIO'!F96="","",'📇 INVENTARIO'!F96)</f>
        <v>E</v>
      </c>
      <c r="G94" s="61">
        <f>IF('📇 INVENTARIO'!G96="","",'📇 INVENTARIO'!G96)</f>
        <v>321</v>
      </c>
      <c r="H94" s="61">
        <f>IF('📇 INVENTARIO'!H96="","",'📇 INVENTARIO'!H96)</f>
        <v>68</v>
      </c>
      <c r="I94" s="61">
        <f>IF('📇 INVENTARIO'!I96="","",'📇 INVENTARIO'!I96)</f>
        <v>156.6</v>
      </c>
      <c r="J94" s="61">
        <f>IF('📇 INVENTARIO'!J96="","",'📇 INVENTARIO'!J96)</f>
        <v>1969</v>
      </c>
      <c r="K94" s="62">
        <f>IF($C94="","",(G94-'⚙️ SUPUESTOS'!$C$20)/('⚙️ SUPUESTOS'!$C$25-'⚙️ SUPUESTOS'!$C$20))</f>
        <v>0.30636833046471601</v>
      </c>
      <c r="L94" s="62">
        <f>IF($C94="","",VLOOKUP($E94,'📊 SECCIONES'!$B$4:$S$9,16,FALSE()))</f>
        <v>0.19481959841367916</v>
      </c>
      <c r="M94" s="62">
        <f>IF($C94="","",VLOOKUP($E94,'📊 SECCIONES'!$B$4:$S$9,17,FALSE()))</f>
        <v>0.2663212435233161</v>
      </c>
      <c r="N94" s="62">
        <f>IF($C94="","",VLOOKUP($E94,'📊 SECCIONES'!$B$4:$S$9,18,FALSE()))</f>
        <v>1</v>
      </c>
      <c r="O94" s="63">
        <f>IF($C94="","",ROUND('⚙️ SUPUESTOS'!$C$21*K94+'⚙️ SUPUESTOS'!$C$22*L94+'⚙️ SUPUESTOS'!$C$23*M94+'⚙️ SUPUESTOS'!$C$24*N94,4))</f>
        <v>0.33860000000000001</v>
      </c>
      <c r="P94" s="64">
        <f>IF($C94="","",VLOOKUP($E94,'📊 SECCIONES'!$B$4:$S$9,7,FALSE()))</f>
        <v>24.5</v>
      </c>
      <c r="Q94" s="65">
        <f>IF($C94="","",VLOOKUP($E94,'📊 SECCIONES'!$B$4:$S$9,8,FALSE()))</f>
        <v>25206</v>
      </c>
      <c r="R94" s="64">
        <f>IF($C94="","",VLOOKUP($E94,'📊 SECCIONES'!$B$4:$S$9,10,FALSE()))</f>
        <v>32.6</v>
      </c>
      <c r="S94" s="61">
        <f>IF('📇 INVENTARIO'!K96="","",'📇 INVENTARIO'!K96)</f>
        <v>6</v>
      </c>
      <c r="T94" s="66" t="str">
        <f t="shared" si="4"/>
        <v>Objetivo: alcanzar calificación C. Actual: Cal.E. SATE fachada + carpinterías doble + instalación fotovoltaica</v>
      </c>
      <c r="U94" s="59" t="str">
        <f t="shared" si="5"/>
        <v>Valorar ascensor (verificar)</v>
      </c>
      <c r="V94" s="67">
        <f>IF('📇 INVENTARIO'!L96="","",'📇 INVENTARIO'!L96)</f>
        <v>312.8</v>
      </c>
      <c r="W94" s="64">
        <f>IF($C94="","",V94*'⚙️ SUPUESTOS'!$C$8*'⚙️ SUPUESTOS'!$C$9)</f>
        <v>65.688000000000002</v>
      </c>
      <c r="X94" s="67">
        <f>IF('📇 INVENTARIO'!N96="","",'📇 INVENTARIO'!N96)</f>
        <v>1458</v>
      </c>
      <c r="Y94" s="67">
        <f>IF($C94="","",W94*X94*'⚙️ SUPUESTOS'!$C$7)</f>
        <v>86195.793600000005</v>
      </c>
      <c r="Z94" s="65">
        <f>IF($C94="","",W94*'⚙️ SUPUESTOS'!$C$10)</f>
        <v>87693.48</v>
      </c>
      <c r="AA94" s="65">
        <f>IF($C94="","",Y94*('⚙️ SUPUESTOS'!$C$12*'⚙️ SUPUESTOS'!$C$11+(1-'⚙️ SUPUESTOS'!$C$12)*'⚙️ SUPUESTOS'!$C$13))</f>
        <v>5878.5531235200015</v>
      </c>
      <c r="AB94" s="65">
        <f>IF($C94="","",IF(Y94&gt;0,ROUND(Y94*'⚙️ SUPUESTOS'!$C$12*'⚙️ SUPUESTOS'!$C$11,0),""))</f>
        <v>2155</v>
      </c>
      <c r="AC94" s="65">
        <f>IF($C94="","",IF(Y94&gt;0,ROUND(Y94*(1-'⚙️ SUPUESTOS'!$C$12)*'⚙️ SUPUESTOS'!$C$13,0),""))</f>
        <v>3724</v>
      </c>
      <c r="AD94" s="76">
        <f t="shared" si="6"/>
        <v>59270</v>
      </c>
      <c r="AE94" s="75">
        <f t="shared" si="7"/>
        <v>14.917527860578433</v>
      </c>
      <c r="AF94" s="70" t="str">
        <f>IF($C94="","",IF(AE94="","—",IF(AE94&lt;='⚙️ SUPUESTOS'!$C$32,"✔ Muy recomendable",IF(AE94&lt;='⚙️ SUPUESTOS'!$C$33,"✔ Recomendable","Valorar"))))</f>
        <v>✔ Muy recomendable</v>
      </c>
      <c r="AG94" s="79">
        <f>IF('📇 INVENTARIO'!O95="","",'📇 INVENTARIO'!O95)</f>
        <v>41.649569999999997</v>
      </c>
      <c r="AH94" s="79">
        <f>IF('📇 INVENTARIO'!P95="","",'📇 INVENTARIO'!P95)</f>
        <v>-4.7096400000000003</v>
      </c>
    </row>
    <row r="95" spans="1:34" ht="45" customHeight="1">
      <c r="A95" s="69">
        <f>IF($C95="","",RANK(O95,$O$3:$O$265,0)+COUNTIF($O$3:O95,O95)-1)</f>
        <v>93</v>
      </c>
      <c r="B95" s="70" t="str">
        <f>IF($C95="","",IF(A95&lt;='⚙️ SUPUESTOS'!$C$29,"Fase 1",IF(A95&lt;='⚙️ SUPUESTOS'!$C$30,"Fase 2","Fase 3")))</f>
        <v>Fase 2</v>
      </c>
      <c r="C95" s="71" t="str">
        <f>IF('📇 INVENTARIO'!B97="","",'📇 INVENTARIO'!B97)</f>
        <v>C/ Salud, 13</v>
      </c>
      <c r="D95" s="70" t="str">
        <f>IF('📇 INVENTARIO'!C97="","",'📇 INVENTARIO'!C97)</f>
        <v>7623802UM5172D</v>
      </c>
      <c r="E95" s="70" t="str">
        <f>IF('📇 INVENTARIO'!D97="","",'📇 INVENTARIO'!D97)</f>
        <v>4718606027</v>
      </c>
      <c r="F95" s="70" t="str">
        <f>IF('📇 INVENTARIO'!F97="","",'📇 INVENTARIO'!F97)</f>
        <v>F</v>
      </c>
      <c r="G95" s="72">
        <f>IF('📇 INVENTARIO'!G97="","",'📇 INVENTARIO'!G97)</f>
        <v>320</v>
      </c>
      <c r="H95" s="72">
        <f>IF('📇 INVENTARIO'!H97="","",'📇 INVENTARIO'!H97)</f>
        <v>67</v>
      </c>
      <c r="I95" s="72">
        <f>IF('📇 INVENTARIO'!I97="","",'📇 INVENTARIO'!I97)</f>
        <v>162.80000000000001</v>
      </c>
      <c r="J95" s="72">
        <f>IF('📇 INVENTARIO'!J97="","",'📇 INVENTARIO'!J97)</f>
        <v>1969</v>
      </c>
      <c r="K95" s="73">
        <f>IF($C95="","",(G95-'⚙️ SUPUESTOS'!$C$20)/('⚙️ SUPUESTOS'!$C$25-'⚙️ SUPUESTOS'!$C$20))</f>
        <v>0.30464716006884679</v>
      </c>
      <c r="L95" s="73">
        <f>IF($C95="","",VLOOKUP($E95,'📊 SECCIONES'!$B$4:$S$9,16,FALSE()))</f>
        <v>0.19481959841367916</v>
      </c>
      <c r="M95" s="73">
        <f>IF($C95="","",VLOOKUP($E95,'📊 SECCIONES'!$B$4:$S$9,17,FALSE()))</f>
        <v>0.2663212435233161</v>
      </c>
      <c r="N95" s="73">
        <f>IF($C95="","",VLOOKUP($E95,'📊 SECCIONES'!$B$4:$S$9,18,FALSE()))</f>
        <v>1</v>
      </c>
      <c r="O95" s="74">
        <f>IF($C95="","",ROUND('⚙️ SUPUESTOS'!$C$21*K95+'⚙️ SUPUESTOS'!$C$22*L95+'⚙️ SUPUESTOS'!$C$23*M95+'⚙️ SUPUESTOS'!$C$24*N95,4))</f>
        <v>0.3377</v>
      </c>
      <c r="P95" s="75">
        <f>IF($C95="","",VLOOKUP($E95,'📊 SECCIONES'!$B$4:$S$9,7,FALSE()))</f>
        <v>24.5</v>
      </c>
      <c r="Q95" s="76">
        <f>IF($C95="","",VLOOKUP($E95,'📊 SECCIONES'!$B$4:$S$9,8,FALSE()))</f>
        <v>25206</v>
      </c>
      <c r="R95" s="75">
        <f>IF($C95="","",VLOOKUP($E95,'📊 SECCIONES'!$B$4:$S$9,10,FALSE()))</f>
        <v>32.6</v>
      </c>
      <c r="S95" s="72">
        <f>IF('📇 INVENTARIO'!K97="","",'📇 INVENTARIO'!K97)</f>
        <v>6</v>
      </c>
      <c r="T95" s="77" t="str">
        <f t="shared" si="4"/>
        <v>Objetivo: alcanzar calificación C. Actual: Cal.F. SATE integral + cubierta + carpinterías triple + aerotermia + instalación fotovoltaica</v>
      </c>
      <c r="U95" s="70" t="str">
        <f t="shared" si="5"/>
        <v>Valorar ascensor (verificar)</v>
      </c>
      <c r="V95" s="78">
        <f>IF('📇 INVENTARIO'!L97="","",'📇 INVENTARIO'!L97)</f>
        <v>271.8</v>
      </c>
      <c r="W95" s="75">
        <f>IF($C95="","",V95*'⚙️ SUPUESTOS'!$C$8*'⚙️ SUPUESTOS'!$C$9)</f>
        <v>57.078000000000003</v>
      </c>
      <c r="X95" s="78">
        <f>IF('📇 INVENTARIO'!N97="","",'📇 INVENTARIO'!N97)</f>
        <v>1426</v>
      </c>
      <c r="Y95" s="78">
        <f>IF($C95="","",W95*X95*'⚙️ SUPUESTOS'!$C$7)</f>
        <v>73253.905200000008</v>
      </c>
      <c r="Z95" s="76">
        <f>IF($C95="","",W95*'⚙️ SUPUESTOS'!$C$10)</f>
        <v>76199.13</v>
      </c>
      <c r="AA95" s="76">
        <f>IF($C95="","",Y95*('⚙️ SUPUESTOS'!$C$12*'⚙️ SUPUESTOS'!$C$11+(1-'⚙️ SUPUESTOS'!$C$12)*'⚙️ SUPUESTOS'!$C$13))</f>
        <v>4995.916334640001</v>
      </c>
      <c r="AB95" s="76">
        <f>IF($C95="","",IF(Y95&gt;0,ROUND(Y95*'⚙️ SUPUESTOS'!$C$12*'⚙️ SUPUESTOS'!$C$11,0),""))</f>
        <v>1831</v>
      </c>
      <c r="AC95" s="76">
        <f>IF($C95="","",IF(Y95&gt;0,ROUND(Y95*(1-'⚙️ SUPUESTOS'!$C$12)*'⚙️ SUPUESTOS'!$C$13,0),""))</f>
        <v>3165</v>
      </c>
      <c r="AD95" s="65">
        <f t="shared" si="6"/>
        <v>48699</v>
      </c>
      <c r="AE95" s="64">
        <f t="shared" si="7"/>
        <v>15.252283043985527</v>
      </c>
      <c r="AF95" s="59" t="str">
        <f>IF($C95="","",IF(AE95="","—",IF(AE95&lt;='⚙️ SUPUESTOS'!$C$32,"✔ Muy recomendable",IF(AE95&lt;='⚙️ SUPUESTOS'!$C$33,"✔ Recomendable","Valorar"))))</f>
        <v>✔ Recomendable</v>
      </c>
      <c r="AG95" s="68">
        <f>IF('📇 INVENTARIO'!O96="","",'📇 INVENTARIO'!O96)</f>
        <v>41.6479</v>
      </c>
      <c r="AH95" s="68">
        <f>IF('📇 INVENTARIO'!P96="","",'📇 INVENTARIO'!P96)</f>
        <v>-4.7117300000000002</v>
      </c>
    </row>
    <row r="96" spans="1:34" ht="45" customHeight="1">
      <c r="A96" s="69">
        <f>IF($C96="","",RANK(O96,$O$3:$O$265,0)+COUNTIF($O$3:O96,O96)-1)</f>
        <v>94</v>
      </c>
      <c r="B96" s="70" t="str">
        <f>IF($C96="","",IF(A96&lt;='⚙️ SUPUESTOS'!$C$29,"Fase 1",IF(A96&lt;='⚙️ SUPUESTOS'!$C$30,"Fase 2","Fase 3")))</f>
        <v>Fase 2</v>
      </c>
      <c r="C96" s="71" t="str">
        <f>IF('📇 INVENTARIO'!B95="","",'📇 INVENTARIO'!B95)</f>
        <v>C/ Villabáñez, 11</v>
      </c>
      <c r="D96" s="70" t="str">
        <f>IF('📇 INVENTARIO'!C95="","",'📇 INVENTARIO'!C95)</f>
        <v>7825706UM5172F</v>
      </c>
      <c r="E96" s="70" t="str">
        <f>IF('📇 INVENTARIO'!D95="","",'📇 INVENTARIO'!D95)</f>
        <v>4718606023</v>
      </c>
      <c r="F96" s="70" t="str">
        <f>IF('📇 INVENTARIO'!F95="","",'📇 INVENTARIO'!F95)</f>
        <v>E</v>
      </c>
      <c r="G96" s="72">
        <f>IF('📇 INVENTARIO'!G95="","",'📇 INVENTARIO'!G95)</f>
        <v>258</v>
      </c>
      <c r="H96" s="72">
        <f>IF('📇 INVENTARIO'!H95="","",'📇 INVENTARIO'!H95)</f>
        <v>54</v>
      </c>
      <c r="I96" s="72">
        <f>IF('📇 INVENTARIO'!I95="","",'📇 INVENTARIO'!I95)</f>
        <v>125</v>
      </c>
      <c r="J96" s="72">
        <f>IF('📇 INVENTARIO'!J95="","",'📇 INVENTARIO'!J95)</f>
        <v>1966</v>
      </c>
      <c r="K96" s="73">
        <f>IF($C96="","",(G96-'⚙️ SUPUESTOS'!$C$20)/('⚙️ SUPUESTOS'!$C$25-'⚙️ SUPUESTOS'!$C$20))</f>
        <v>0.19793459552495696</v>
      </c>
      <c r="L96" s="73">
        <f>IF($C96="","",VLOOKUP($E96,'📊 SECCIONES'!$B$4:$S$9,16,FALSE()))</f>
        <v>0.54128061278831963</v>
      </c>
      <c r="M96" s="73">
        <f>IF($C96="","",VLOOKUP($E96,'📊 SECCIONES'!$B$4:$S$9,17,FALSE()))</f>
        <v>0.59585492227979275</v>
      </c>
      <c r="N96" s="73">
        <f>IF($C96="","",VLOOKUP($E96,'📊 SECCIONES'!$B$4:$S$9,18,FALSE()))</f>
        <v>0.28636363636363632</v>
      </c>
      <c r="O96" s="74">
        <f>IF($C96="","",ROUND('⚙️ SUPUESTOS'!$C$21*K96+'⚙️ SUPUESTOS'!$C$22*L96+'⚙️ SUPUESTOS'!$C$23*M96+'⚙️ SUPUESTOS'!$C$24*N96,4))</f>
        <v>0.33710000000000001</v>
      </c>
      <c r="P96" s="75">
        <f>IF($C96="","",VLOOKUP($E96,'📊 SECCIONES'!$B$4:$S$9,7,FALSE()))</f>
        <v>39.409999999999997</v>
      </c>
      <c r="Q96" s="76">
        <f>IF($C96="","",VLOOKUP($E96,'📊 SECCIONES'!$B$4:$S$9,8,FALSE()))</f>
        <v>22486</v>
      </c>
      <c r="R96" s="75">
        <f>IF($C96="","",VLOOKUP($E96,'📊 SECCIONES'!$B$4:$S$9,10,FALSE()))</f>
        <v>16.899999999999999</v>
      </c>
      <c r="S96" s="72">
        <f>IF('📇 INVENTARIO'!K95="","",'📇 INVENTARIO'!K95)</f>
        <v>5</v>
      </c>
      <c r="T96" s="77" t="str">
        <f t="shared" si="4"/>
        <v>Objetivo: alcanzar calificación C. Actual: Cal.E. SATE fachada + carpinterías doble + instalación fotovoltaica</v>
      </c>
      <c r="U96" s="70" t="str">
        <f t="shared" si="5"/>
        <v>Valorar ascensor (verificar)</v>
      </c>
      <c r="V96" s="78">
        <f>IF('📇 INVENTARIO'!L95="","",'📇 INVENTARIO'!L95)</f>
        <v>496.9</v>
      </c>
      <c r="W96" s="75">
        <f>IF($C96="","",V96*'⚙️ SUPUESTOS'!$C$8*'⚙️ SUPUESTOS'!$C$9)</f>
        <v>104.34899999999999</v>
      </c>
      <c r="X96" s="78">
        <f>IF('📇 INVENTARIO'!N95="","",'📇 INVENTARIO'!N95)</f>
        <v>1452</v>
      </c>
      <c r="Y96" s="78">
        <f>IF($C96="","",W96*X96*'⚙️ SUPUESTOS'!$C$7)</f>
        <v>136363.2732</v>
      </c>
      <c r="Z96" s="76">
        <f>IF($C96="","",W96*'⚙️ SUPUESTOS'!$C$10)</f>
        <v>139305.91499999998</v>
      </c>
      <c r="AA96" s="76">
        <f>IF($C96="","",Y96*('⚙️ SUPUESTOS'!$C$12*'⚙️ SUPUESTOS'!$C$11+(1-'⚙️ SUPUESTOS'!$C$12)*'⚙️ SUPUESTOS'!$C$13))</f>
        <v>9299.9752322400018</v>
      </c>
      <c r="AB96" s="76">
        <f>IF($C96="","",IF(Y96&gt;0,ROUND(Y96*'⚙️ SUPUESTOS'!$C$12*'⚙️ SUPUESTOS'!$C$11,0),""))</f>
        <v>3409</v>
      </c>
      <c r="AC96" s="76">
        <f>IF($C96="","",IF(Y96&gt;0,ROUND(Y96*(1-'⚙️ SUPUESTOS'!$C$12)*'⚙️ SUPUESTOS'!$C$13,0),""))</f>
        <v>5891</v>
      </c>
      <c r="AD96" s="76">
        <f t="shared" si="6"/>
        <v>93193</v>
      </c>
      <c r="AE96" s="75">
        <f t="shared" si="7"/>
        <v>14.979170537688262</v>
      </c>
      <c r="AF96" s="70" t="str">
        <f>IF($C96="","",IF(AE96="","—",IF(AE96&lt;='⚙️ SUPUESTOS'!$C$32,"✔ Muy recomendable",IF(AE96&lt;='⚙️ SUPUESTOS'!$C$33,"✔ Recomendable","Valorar"))))</f>
        <v>✔ Muy recomendable</v>
      </c>
      <c r="AG96" s="79">
        <f>IF('📇 INVENTARIO'!O97="","",'📇 INVENTARIO'!O97)</f>
        <v>41.648240000000001</v>
      </c>
      <c r="AH96" s="79">
        <f>IF('📇 INVENTARIO'!P97="","",'📇 INVENTARIO'!P97)</f>
        <v>-4.7120699999999998</v>
      </c>
    </row>
    <row r="97" spans="1:34" ht="45" customHeight="1">
      <c r="A97" s="58">
        <f>IF($C97="","",RANK(O97,$O$3:$O$265,0)+COUNTIF($O$3:O97,O97)-1)</f>
        <v>95</v>
      </c>
      <c r="B97" s="59" t="str">
        <f>IF($C97="","",IF(A97&lt;='⚙️ SUPUESTOS'!$C$29,"Fase 1",IF(A97&lt;='⚙️ SUPUESTOS'!$C$30,"Fase 2","Fase 3")))</f>
        <v>Fase 2</v>
      </c>
      <c r="C97" s="60" t="str">
        <f>IF('📇 INVENTARIO'!B98="","",'📇 INVENTARIO'!B98)</f>
        <v>C/ Rincón del Esgueva, 21</v>
      </c>
      <c r="D97" s="59" t="str">
        <f>IF('📇 INVENTARIO'!C98="","",'📇 INVENTARIO'!C98)</f>
        <v>7726403UM5172F</v>
      </c>
      <c r="E97" s="59" t="str">
        <f>IF('📇 INVENTARIO'!D98="","",'📇 INVENTARIO'!D98)</f>
        <v>4718606023</v>
      </c>
      <c r="F97" s="59" t="str">
        <f>IF('📇 INVENTARIO'!F98="","",'📇 INVENTARIO'!F98)</f>
        <v>E</v>
      </c>
      <c r="G97" s="61">
        <f>IF('📇 INVENTARIO'!G98="","",'📇 INVENTARIO'!G98)</f>
        <v>250</v>
      </c>
      <c r="H97" s="61">
        <f>IF('📇 INVENTARIO'!H98="","",'📇 INVENTARIO'!H98)</f>
        <v>45</v>
      </c>
      <c r="I97" s="61">
        <f>IF('📇 INVENTARIO'!I98="","",'📇 INVENTARIO'!I98)</f>
        <v>84.5</v>
      </c>
      <c r="J97" s="61">
        <f>IF('📇 INVENTARIO'!J98="","",'📇 INVENTARIO'!J98)</f>
        <v>1984</v>
      </c>
      <c r="K97" s="62">
        <f>IF($C97="","",(G97-'⚙️ SUPUESTOS'!$C$20)/('⚙️ SUPUESTOS'!$C$25-'⚙️ SUPUESTOS'!$C$20))</f>
        <v>0.18416523235800344</v>
      </c>
      <c r="L97" s="62">
        <f>IF($C97="","",VLOOKUP($E97,'📊 SECCIONES'!$B$4:$S$9,16,FALSE()))</f>
        <v>0.54128061278831963</v>
      </c>
      <c r="M97" s="62">
        <f>IF($C97="","",VLOOKUP($E97,'📊 SECCIONES'!$B$4:$S$9,17,FALSE()))</f>
        <v>0.59585492227979275</v>
      </c>
      <c r="N97" s="62">
        <f>IF($C97="","",VLOOKUP($E97,'📊 SECCIONES'!$B$4:$S$9,18,FALSE()))</f>
        <v>0.28636363636363632</v>
      </c>
      <c r="O97" s="63">
        <f>IF($C97="","",ROUND('⚙️ SUPUESTOS'!$C$21*K97+'⚙️ SUPUESTOS'!$C$22*L97+'⚙️ SUPUESTOS'!$C$23*M97+'⚙️ SUPUESTOS'!$C$24*N97,4))</f>
        <v>0.3296</v>
      </c>
      <c r="P97" s="64">
        <f>IF($C97="","",VLOOKUP($E97,'📊 SECCIONES'!$B$4:$S$9,7,FALSE()))</f>
        <v>39.409999999999997</v>
      </c>
      <c r="Q97" s="65">
        <f>IF($C97="","",VLOOKUP($E97,'📊 SECCIONES'!$B$4:$S$9,8,FALSE()))</f>
        <v>22486</v>
      </c>
      <c r="R97" s="64">
        <f>IF($C97="","",VLOOKUP($E97,'📊 SECCIONES'!$B$4:$S$9,10,FALSE()))</f>
        <v>16.899999999999999</v>
      </c>
      <c r="S97" s="61">
        <f>IF('📇 INVENTARIO'!K98="","",'📇 INVENTARIO'!K98)</f>
        <v>6</v>
      </c>
      <c r="T97" s="66" t="str">
        <f t="shared" si="4"/>
        <v>Objetivo: alcanzar calificación C. Actual: Cal.E. SATE fachada + carpinterías doble + instalación fotovoltaica</v>
      </c>
      <c r="U97" s="59" t="str">
        <f t="shared" si="5"/>
        <v>Valorar ascensor (verificar)</v>
      </c>
      <c r="V97" s="67">
        <f>IF('📇 INVENTARIO'!L98="","",'📇 INVENTARIO'!L98)</f>
        <v>498.1</v>
      </c>
      <c r="W97" s="64">
        <f>IF($C97="","",V97*'⚙️ SUPUESTOS'!$C$8*'⚙️ SUPUESTOS'!$C$9)</f>
        <v>104.601</v>
      </c>
      <c r="X97" s="67">
        <f>IF('📇 INVENTARIO'!N98="","",'📇 INVENTARIO'!N98)</f>
        <v>1524</v>
      </c>
      <c r="Y97" s="67">
        <f>IF($C97="","",W97*X97*'⚙️ SUPUESTOS'!$C$7)</f>
        <v>143470.7316</v>
      </c>
      <c r="Z97" s="65">
        <f>IF($C97="","",W97*'⚙️ SUPUESTOS'!$C$10)</f>
        <v>139642.33499999999</v>
      </c>
      <c r="AA97" s="65">
        <f>IF($C97="","",Y97*('⚙️ SUPUESTOS'!$C$12*'⚙️ SUPUESTOS'!$C$11+(1-'⚙️ SUPUESTOS'!$C$12)*'⚙️ SUPUESTOS'!$C$13))</f>
        <v>9784.7038951200011</v>
      </c>
      <c r="AB97" s="65">
        <f>IF($C97="","",IF(Y97&gt;0,ROUND(Y97*'⚙️ SUPUESTOS'!$C$12*'⚙️ SUPUESTOS'!$C$11,0),""))</f>
        <v>3587</v>
      </c>
      <c r="AC97" s="65">
        <f>IF($C97="","",IF(Y97&gt;0,ROUND(Y97*(1-'⚙️ SUPUESTOS'!$C$12)*'⚙️ SUPUESTOS'!$C$13,0),""))</f>
        <v>6198</v>
      </c>
      <c r="AD97" s="65">
        <f t="shared" si="6"/>
        <v>104975</v>
      </c>
      <c r="AE97" s="64">
        <f t="shared" si="7"/>
        <v>14.271493189451023</v>
      </c>
      <c r="AF97" s="59" t="str">
        <f>IF($C97="","",IF(AE97="","—",IF(AE97&lt;='⚙️ SUPUESTOS'!$C$32,"✔ Muy recomendable",IF(AE97&lt;='⚙️ SUPUESTOS'!$C$33,"✔ Recomendable","Valorar"))))</f>
        <v>✔ Muy recomendable</v>
      </c>
      <c r="AG97" s="68">
        <f>IF('📇 INVENTARIO'!O98="","",'📇 INVENTARIO'!O98)</f>
        <v>41.650460000000002</v>
      </c>
      <c r="AH97" s="68">
        <f>IF('📇 INVENTARIO'!P98="","",'📇 INVENTARIO'!P98)</f>
        <v>-4.7092900000000002</v>
      </c>
    </row>
    <row r="98" spans="1:34" ht="45" customHeight="1">
      <c r="A98" s="58">
        <f>IF($C98="","",RANK(O98,$O$3:$O$265,0)+COUNTIF($O$3:O98,O98)-1)</f>
        <v>96</v>
      </c>
      <c r="B98" s="59" t="str">
        <f>IF($C98="","",IF(A98&lt;='⚙️ SUPUESTOS'!$C$29,"Fase 1",IF(A98&lt;='⚙️ SUPUESTOS'!$C$30,"Fase 2","Fase 3")))</f>
        <v>Fase 2</v>
      </c>
      <c r="C98" s="60" t="str">
        <f>IF('📇 INVENTARIO'!B100="","",'📇 INVENTARIO'!B100)</f>
        <v>C/ Pelícano, 15</v>
      </c>
      <c r="D98" s="59" t="str">
        <f>IF('📇 INVENTARIO'!C100="","",'📇 INVENTARIO'!C100)</f>
        <v>7723408UM5172D</v>
      </c>
      <c r="E98" s="59" t="str">
        <f>IF('📇 INVENTARIO'!D100="","",'📇 INVENTARIO'!D100)</f>
        <v>4718606028</v>
      </c>
      <c r="F98" s="59" t="str">
        <f>IF('📇 INVENTARIO'!F100="","",'📇 INVENTARIO'!F100)</f>
        <v>F</v>
      </c>
      <c r="G98" s="61">
        <f>IF('📇 INVENTARIO'!G100="","",'📇 INVENTARIO'!G100)</f>
        <v>313</v>
      </c>
      <c r="H98" s="61">
        <f>IF('📇 INVENTARIO'!H100="","",'📇 INVENTARIO'!H100)</f>
        <v>66</v>
      </c>
      <c r="I98" s="61">
        <f>IF('📇 INVENTARIO'!I100="","",'📇 INVENTARIO'!I100)</f>
        <v>155.9</v>
      </c>
      <c r="J98" s="61">
        <f>IF('📇 INVENTARIO'!J100="","",'📇 INVENTARIO'!J100)</f>
        <v>1968</v>
      </c>
      <c r="K98" s="62">
        <f>IF($C98="","",(G98-'⚙️ SUPUESTOS'!$C$20)/('⚙️ SUPUESTOS'!$C$25-'⚙️ SUPUESTOS'!$C$20))</f>
        <v>0.29259896729776247</v>
      </c>
      <c r="L98" s="62">
        <f>IF($C98="","",VLOOKUP($E98,'📊 SECCIONES'!$B$4:$S$9,16,FALSE()))</f>
        <v>0.24395028956990591</v>
      </c>
      <c r="M98" s="62">
        <f>IF($C98="","",VLOOKUP($E98,'📊 SECCIONES'!$B$4:$S$9,17,FALSE()))</f>
        <v>0.34507772020725386</v>
      </c>
      <c r="N98" s="62">
        <f>IF($C98="","",VLOOKUP($E98,'📊 SECCIONES'!$B$4:$S$9,18,FALSE()))</f>
        <v>0.70909090909090911</v>
      </c>
      <c r="O98" s="63">
        <f>IF($C98="","",ROUND('⚙️ SUPUESTOS'!$C$21*K98+'⚙️ SUPUESTOS'!$C$22*L98+'⚙️ SUPUESTOS'!$C$23*M98+'⚙️ SUPUESTOS'!$C$24*N98,4))</f>
        <v>0.32669999999999999</v>
      </c>
      <c r="P98" s="64">
        <f>IF($C98="","",VLOOKUP($E98,'📊 SECCIONES'!$B$4:$S$9,7,FALSE()))</f>
        <v>29.81</v>
      </c>
      <c r="Q98" s="65">
        <f>IF($C98="","",VLOOKUP($E98,'📊 SECCIONES'!$B$4:$S$9,8,FALSE()))</f>
        <v>23665</v>
      </c>
      <c r="R98" s="64">
        <f>IF($C98="","",VLOOKUP($E98,'📊 SECCIONES'!$B$4:$S$9,10,FALSE()))</f>
        <v>26.2</v>
      </c>
      <c r="S98" s="61">
        <f>IF('📇 INVENTARIO'!K100="","",'📇 INVENTARIO'!K100)</f>
        <v>6</v>
      </c>
      <c r="T98" s="66" t="str">
        <f t="shared" si="4"/>
        <v>Objetivo: alcanzar calificación C. Actual: Cal.F. SATE integral + cubierta + carpinterías triple + aerotermia + instalación fotovoltaica</v>
      </c>
      <c r="U98" s="59" t="str">
        <f t="shared" si="5"/>
        <v>Valorar ascensor (verificar)</v>
      </c>
      <c r="V98" s="67">
        <f>IF('📇 INVENTARIO'!L100="","",'📇 INVENTARIO'!L100)</f>
        <v>182.8</v>
      </c>
      <c r="W98" s="64">
        <f>IF($C98="","",V98*'⚙️ SUPUESTOS'!$C$8*'⚙️ SUPUESTOS'!$C$9)</f>
        <v>38.387999999999998</v>
      </c>
      <c r="X98" s="67">
        <f>IF('📇 INVENTARIO'!N100="","",'📇 INVENTARIO'!N100)</f>
        <v>1436</v>
      </c>
      <c r="Y98" s="67">
        <f>IF($C98="","",W98*X98*'⚙️ SUPUESTOS'!$C$7)</f>
        <v>49612.6512</v>
      </c>
      <c r="Z98" s="65">
        <f>IF($C98="","",W98*'⚙️ SUPUESTOS'!$C$10)</f>
        <v>51247.979999999996</v>
      </c>
      <c r="AA98" s="65">
        <f>IF($C98="","",Y98*('⚙️ SUPUESTOS'!$C$12*'⚙️ SUPUESTOS'!$C$11+(1-'⚙️ SUPUESTOS'!$C$12)*'⚙️ SUPUESTOS'!$C$13))</f>
        <v>3383.5828118400004</v>
      </c>
      <c r="AB98" s="65">
        <f>IF($C98="","",IF(Y98&gt;0,ROUND(Y98*'⚙️ SUPUESTOS'!$C$12*'⚙️ SUPUESTOS'!$C$11,0),""))</f>
        <v>1240</v>
      </c>
      <c r="AC98" s="65">
        <f>IF($C98="","",IF(Y98&gt;0,ROUND(Y98*(1-'⚙️ SUPUESTOS'!$C$12)*'⚙️ SUPUESTOS'!$C$13,0),""))</f>
        <v>2143</v>
      </c>
      <c r="AD98" s="76">
        <f t="shared" si="6"/>
        <v>33342</v>
      </c>
      <c r="AE98" s="75">
        <f t="shared" si="7"/>
        <v>15.146069373762785</v>
      </c>
      <c r="AF98" s="70" t="str">
        <f>IF($C98="","",IF(AE98="","—",IF(AE98&lt;='⚙️ SUPUESTOS'!$C$32,"✔ Muy recomendable",IF(AE98&lt;='⚙️ SUPUESTOS'!$C$33,"✔ Recomendable","Valorar"))))</f>
        <v>✔ Recomendable</v>
      </c>
      <c r="AG98" s="79">
        <f>IF('📇 INVENTARIO'!O99="","",'📇 INVENTARIO'!O99)</f>
        <v>41.650669999999998</v>
      </c>
      <c r="AH98" s="79">
        <f>IF('📇 INVENTARIO'!P99="","",'📇 INVENTARIO'!P99)</f>
        <v>-4.70953</v>
      </c>
    </row>
    <row r="99" spans="1:34" ht="45" customHeight="1">
      <c r="A99" s="69">
        <f>IF($C99="","",RANK(O99,$O$3:$O$265,0)+COUNTIF($O$3:O99,O99)-1)</f>
        <v>97</v>
      </c>
      <c r="B99" s="70" t="str">
        <f>IF($C99="","",IF(A99&lt;='⚙️ SUPUESTOS'!$C$29,"Fase 1",IF(A99&lt;='⚙️ SUPUESTOS'!$C$30,"Fase 2","Fase 3")))</f>
        <v>Fase 2</v>
      </c>
      <c r="C99" s="71" t="str">
        <f>IF('📇 INVENTARIO'!B99="","",'📇 INVENTARIO'!B99)</f>
        <v>Pso. del Cauce, 88</v>
      </c>
      <c r="D99" s="70" t="str">
        <f>IF('📇 INVENTARIO'!C99="","",'📇 INVENTARIO'!C99)</f>
        <v>7726402UM5172F</v>
      </c>
      <c r="E99" s="70" t="str">
        <f>IF('📇 INVENTARIO'!D99="","",'📇 INVENTARIO'!D99)</f>
        <v>4718606023</v>
      </c>
      <c r="F99" s="70" t="str">
        <f>IF('📇 INVENTARIO'!F99="","",'📇 INVENTARIO'!F99)</f>
        <v>E</v>
      </c>
      <c r="G99" s="72">
        <f>IF('📇 INVENTARIO'!G99="","",'📇 INVENTARIO'!G99)</f>
        <v>246</v>
      </c>
      <c r="H99" s="72">
        <f>IF('📇 INVENTARIO'!H99="","",'📇 INVENTARIO'!H99)</f>
        <v>52</v>
      </c>
      <c r="I99" s="72">
        <f>IF('📇 INVENTARIO'!I99="","",'📇 INVENTARIO'!I99)</f>
        <v>117.7</v>
      </c>
      <c r="J99" s="72">
        <f>IF('📇 INVENTARIO'!J99="","",'📇 INVENTARIO'!J99)</f>
        <v>1967</v>
      </c>
      <c r="K99" s="73">
        <f>IF($C99="","",(G99-'⚙️ SUPUESTOS'!$C$20)/('⚙️ SUPUESTOS'!$C$25-'⚙️ SUPUESTOS'!$C$20))</f>
        <v>0.17728055077452667</v>
      </c>
      <c r="L99" s="73">
        <f>IF($C99="","",VLOOKUP($E99,'📊 SECCIONES'!$B$4:$S$9,16,FALSE()))</f>
        <v>0.54128061278831963</v>
      </c>
      <c r="M99" s="73">
        <f>IF($C99="","",VLOOKUP($E99,'📊 SECCIONES'!$B$4:$S$9,17,FALSE()))</f>
        <v>0.59585492227979275</v>
      </c>
      <c r="N99" s="73">
        <f>IF($C99="","",VLOOKUP($E99,'📊 SECCIONES'!$B$4:$S$9,18,FALSE()))</f>
        <v>0.28636363636363632</v>
      </c>
      <c r="O99" s="74">
        <f>IF($C99="","",ROUND('⚙️ SUPUESTOS'!$C$21*K99+'⚙️ SUPUESTOS'!$C$22*L99+'⚙️ SUPUESTOS'!$C$23*M99+'⚙️ SUPUESTOS'!$C$24*N99,4))</f>
        <v>0.32579999999999998</v>
      </c>
      <c r="P99" s="75">
        <f>IF($C99="","",VLOOKUP($E99,'📊 SECCIONES'!$B$4:$S$9,7,FALSE()))</f>
        <v>39.409999999999997</v>
      </c>
      <c r="Q99" s="76">
        <f>IF($C99="","",VLOOKUP($E99,'📊 SECCIONES'!$B$4:$S$9,8,FALSE()))</f>
        <v>22486</v>
      </c>
      <c r="R99" s="75">
        <f>IF($C99="","",VLOOKUP($E99,'📊 SECCIONES'!$B$4:$S$9,10,FALSE()))</f>
        <v>16.899999999999999</v>
      </c>
      <c r="S99" s="72">
        <f>IF('📇 INVENTARIO'!K99="","",'📇 INVENTARIO'!K99)</f>
        <v>5</v>
      </c>
      <c r="T99" s="77" t="str">
        <f t="shared" si="4"/>
        <v>Objetivo: alcanzar calificación C. Actual: Cal.E. SATE fachada + carpinterías doble + instalación fotovoltaica</v>
      </c>
      <c r="U99" s="70" t="str">
        <f t="shared" si="5"/>
        <v>Valorar ascensor (verificar)</v>
      </c>
      <c r="V99" s="78">
        <f>IF('📇 INVENTARIO'!L99="","",'📇 INVENTARIO'!L99)</f>
        <v>1132.4000000000001</v>
      </c>
      <c r="W99" s="75">
        <f>IF($C99="","",V99*'⚙️ SUPUESTOS'!$C$8*'⚙️ SUPUESTOS'!$C$9)</f>
        <v>237.804</v>
      </c>
      <c r="X99" s="78">
        <f>IF('📇 INVENTARIO'!N99="","",'📇 INVENTARIO'!N99)</f>
        <v>1500</v>
      </c>
      <c r="Y99" s="78">
        <f>IF($C99="","",W99*X99*'⚙️ SUPUESTOS'!$C$7)</f>
        <v>321035.40000000002</v>
      </c>
      <c r="Z99" s="76">
        <f>IF($C99="","",W99*'⚙️ SUPUESTOS'!$C$10)</f>
        <v>317468.34000000003</v>
      </c>
      <c r="AA99" s="76">
        <f>IF($C99="","",Y99*('⚙️ SUPUESTOS'!$C$12*'⚙️ SUPUESTOS'!$C$11+(1-'⚙️ SUPUESTOS'!$C$12)*'⚙️ SUPUESTOS'!$C$13))</f>
        <v>21894.614280000005</v>
      </c>
      <c r="AB99" s="76">
        <f>IF($C99="","",IF(Y99&gt;0,ROUND(Y99*'⚙️ SUPUESTOS'!$C$12*'⚙️ SUPUESTOS'!$C$11,0),""))</f>
        <v>8026</v>
      </c>
      <c r="AC99" s="76">
        <f>IF($C99="","",IF(Y99&gt;0,ROUND(Y99*(1-'⚙️ SUPUESTOS'!$C$12)*'⚙️ SUPUESTOS'!$C$13,0),""))</f>
        <v>13869</v>
      </c>
      <c r="AD99" s="65">
        <f t="shared" si="6"/>
        <v>229897</v>
      </c>
      <c r="AE99" s="64">
        <f t="shared" si="7"/>
        <v>14.499837080482239</v>
      </c>
      <c r="AF99" s="59" t="str">
        <f>IF($C99="","",IF(AE99="","—",IF(AE99&lt;='⚙️ SUPUESTOS'!$C$32,"✔ Muy recomendable",IF(AE99&lt;='⚙️ SUPUESTOS'!$C$33,"✔ Recomendable","Valorar"))))</f>
        <v>✔ Muy recomendable</v>
      </c>
      <c r="AG99" s="68">
        <f>IF('📇 INVENTARIO'!O100="","",'📇 INVENTARIO'!O100)</f>
        <v>41.647100000000002</v>
      </c>
      <c r="AH99" s="68">
        <f>IF('📇 INVENTARIO'!P100="","",'📇 INVENTARIO'!P100)</f>
        <v>-4.7100999999999997</v>
      </c>
    </row>
    <row r="100" spans="1:34" ht="45" customHeight="1">
      <c r="A100" s="58">
        <f>IF($C100="","",RANK(O100,$O$3:$O$265,0)+COUNTIF($O$3:O100,O100)-1)</f>
        <v>98</v>
      </c>
      <c r="B100" s="59" t="str">
        <f>IF($C100="","",IF(A100&lt;='⚙️ SUPUESTOS'!$C$29,"Fase 1",IF(A100&lt;='⚙️ SUPUESTOS'!$C$30,"Fase 2","Fase 3")))</f>
        <v>Fase 2</v>
      </c>
      <c r="C100" s="60" t="str">
        <f>IF('📇 INVENTARIO'!B102="","",'📇 INVENTARIO'!B102)</f>
        <v>C/ Águila, 15</v>
      </c>
      <c r="D100" s="59" t="str">
        <f>IF('📇 INVENTARIO'!C102="","",'📇 INVENTARIO'!C102)</f>
        <v>7723701UM5172D</v>
      </c>
      <c r="E100" s="59" t="str">
        <f>IF('📇 INVENTARIO'!D102="","",'📇 INVENTARIO'!D102)</f>
        <v>4718606027</v>
      </c>
      <c r="F100" s="59" t="str">
        <f>IF('📇 INVENTARIO'!F102="","",'📇 INVENTARIO'!F102)</f>
        <v>G</v>
      </c>
      <c r="G100" s="61">
        <f>IF('📇 INVENTARIO'!G102="","",'📇 INVENTARIO'!G102)</f>
        <v>297</v>
      </c>
      <c r="H100" s="61">
        <f>IF('📇 INVENTARIO'!H102="","",'📇 INVENTARIO'!H102)</f>
        <v>62.5</v>
      </c>
      <c r="I100" s="61">
        <f>IF('📇 INVENTARIO'!I102="","",'📇 INVENTARIO'!I102)</f>
        <v>149.6</v>
      </c>
      <c r="J100" s="61">
        <f>IF('📇 INVENTARIO'!J102="","",'📇 INVENTARIO'!J102)</f>
        <v>1963</v>
      </c>
      <c r="K100" s="62">
        <f>IF($C100="","",(G100-'⚙️ SUPUESTOS'!$C$20)/('⚙️ SUPUESTOS'!$C$25-'⚙️ SUPUESTOS'!$C$20))</f>
        <v>0.26506024096385544</v>
      </c>
      <c r="L100" s="62">
        <f>IF($C100="","",VLOOKUP($E100,'📊 SECCIONES'!$B$4:$S$9,16,FALSE()))</f>
        <v>0.19481959841367916</v>
      </c>
      <c r="M100" s="62">
        <f>IF($C100="","",VLOOKUP($E100,'📊 SECCIONES'!$B$4:$S$9,17,FALSE()))</f>
        <v>0.2663212435233161</v>
      </c>
      <c r="N100" s="62">
        <f>IF($C100="","",VLOOKUP($E100,'📊 SECCIONES'!$B$4:$S$9,18,FALSE()))</f>
        <v>1</v>
      </c>
      <c r="O100" s="63">
        <f>IF($C100="","",ROUND('⚙️ SUPUESTOS'!$C$21*K100+'⚙️ SUPUESTOS'!$C$22*L100+'⚙️ SUPUESTOS'!$C$23*M100+'⚙️ SUPUESTOS'!$C$24*N100,4))</f>
        <v>0.31590000000000001</v>
      </c>
      <c r="P100" s="64">
        <f>IF($C100="","",VLOOKUP($E100,'📊 SECCIONES'!$B$4:$S$9,7,FALSE()))</f>
        <v>24.5</v>
      </c>
      <c r="Q100" s="65">
        <f>IF($C100="","",VLOOKUP($E100,'📊 SECCIONES'!$B$4:$S$9,8,FALSE()))</f>
        <v>25206</v>
      </c>
      <c r="R100" s="64">
        <f>IF($C100="","",VLOOKUP($E100,'📊 SECCIONES'!$B$4:$S$9,10,FALSE()))</f>
        <v>32.6</v>
      </c>
      <c r="S100" s="61">
        <f>IF('📇 INVENTARIO'!K102="","",'📇 INVENTARIO'!K102)</f>
        <v>5</v>
      </c>
      <c r="T100" s="66" t="str">
        <f t="shared" si="4"/>
        <v>Objetivo: alcanzar calificación C. Actual: Cal.G. SATE integral + cubierta + carpinterías triple + aerotermia + instalación fotovoltaica</v>
      </c>
      <c r="U100" s="59" t="str">
        <f t="shared" si="5"/>
        <v>Valorar ascensor (verificar)</v>
      </c>
      <c r="V100" s="67">
        <f>IF('📇 INVENTARIO'!L102="","",'📇 INVENTARIO'!L102)</f>
        <v>157</v>
      </c>
      <c r="W100" s="64">
        <f>IF($C100="","",V100*'⚙️ SUPUESTOS'!$C$8*'⚙️ SUPUESTOS'!$C$9)</f>
        <v>32.97</v>
      </c>
      <c r="X100" s="67">
        <f>IF('📇 INVENTARIO'!N102="","",'📇 INVENTARIO'!N102)</f>
        <v>1464</v>
      </c>
      <c r="Y100" s="67">
        <f>IF($C100="","",W100*X100*'⚙️ SUPUESTOS'!$C$7)</f>
        <v>43441.272000000004</v>
      </c>
      <c r="Z100" s="65">
        <f>IF($C100="","",W100*'⚙️ SUPUESTOS'!$C$10)</f>
        <v>44014.95</v>
      </c>
      <c r="AA100" s="65">
        <f>IF($C100="","",Y100*('⚙️ SUPUESTOS'!$C$12*'⚙️ SUPUESTOS'!$C$11+(1-'⚙️ SUPUESTOS'!$C$12)*'⚙️ SUPUESTOS'!$C$13))</f>
        <v>2962.6947504000009</v>
      </c>
      <c r="AB100" s="65">
        <f>IF($C100="","",IF(Y100&gt;0,ROUND(Y100*'⚙️ SUPUESTOS'!$C$12*'⚙️ SUPUESTOS'!$C$11,0),""))</f>
        <v>1086</v>
      </c>
      <c r="AC100" s="65">
        <f>IF($C100="","",IF(Y100&gt;0,ROUND(Y100*(1-'⚙️ SUPUESTOS'!$C$12)*'⚙️ SUPUESTOS'!$C$13,0),""))</f>
        <v>1877</v>
      </c>
      <c r="AD100" s="76">
        <f t="shared" si="6"/>
        <v>30052</v>
      </c>
      <c r="AE100" s="75">
        <f t="shared" si="7"/>
        <v>14.856390451313766</v>
      </c>
      <c r="AF100" s="70" t="str">
        <f>IF($C100="","",IF(AE100="","—",IF(AE100&lt;='⚙️ SUPUESTOS'!$C$32,"✔ Muy recomendable",IF(AE100&lt;='⚙️ SUPUESTOS'!$C$33,"✔ Recomendable","Valorar"))))</f>
        <v>✔ Muy recomendable</v>
      </c>
      <c r="AG100" s="79">
        <f>IF('📇 INVENTARIO'!O101="","",'📇 INVENTARIO'!O101)</f>
        <v>41.649900000000002</v>
      </c>
      <c r="AH100" s="79">
        <f>IF('📇 INVENTARIO'!P101="","",'📇 INVENTARIO'!P101)</f>
        <v>-4.7092099999999997</v>
      </c>
    </row>
    <row r="101" spans="1:34" ht="45" customHeight="1">
      <c r="A101" s="69">
        <f>IF($C101="","",RANK(O101,$O$3:$O$265,0)+COUNTIF($O$3:O101,O101)-1)</f>
        <v>99</v>
      </c>
      <c r="B101" s="70" t="str">
        <f>IF($C101="","",IF(A101&lt;='⚙️ SUPUESTOS'!$C$29,"Fase 1",IF(A101&lt;='⚙️ SUPUESTOS'!$C$30,"Fase 2","Fase 3")))</f>
        <v>Fase 2</v>
      </c>
      <c r="C101" s="71" t="str">
        <f>IF('📇 INVENTARIO'!B103="","",'📇 INVENTARIO'!B103)</f>
        <v>C/ Águila, 6</v>
      </c>
      <c r="D101" s="70" t="str">
        <f>IF('📇 INVENTARIO'!C103="","",'📇 INVENTARIO'!C103)</f>
        <v>7723410UM5172D</v>
      </c>
      <c r="E101" s="70" t="str">
        <f>IF('📇 INVENTARIO'!D103="","",'📇 INVENTARIO'!D103)</f>
        <v>4718606028</v>
      </c>
      <c r="F101" s="70" t="str">
        <f>IF('📇 INVENTARIO'!F103="","",'📇 INVENTARIO'!F103)</f>
        <v>F</v>
      </c>
      <c r="G101" s="72">
        <f>IF('📇 INVENTARIO'!G103="","",'📇 INVENTARIO'!G103)</f>
        <v>301</v>
      </c>
      <c r="H101" s="72">
        <f>IF('📇 INVENTARIO'!H103="","",'📇 INVENTARIO'!H103)</f>
        <v>63</v>
      </c>
      <c r="I101" s="72">
        <f>IF('📇 INVENTARIO'!I103="","",'📇 INVENTARIO'!I103)</f>
        <v>154.4</v>
      </c>
      <c r="J101" s="72">
        <f>IF('📇 INVENTARIO'!J103="","",'📇 INVENTARIO'!J103)</f>
        <v>1967</v>
      </c>
      <c r="K101" s="73">
        <f>IF($C101="","",(G101-'⚙️ SUPUESTOS'!$C$20)/('⚙️ SUPUESTOS'!$C$25-'⚙️ SUPUESTOS'!$C$20))</f>
        <v>0.27194492254733221</v>
      </c>
      <c r="L101" s="73">
        <f>IF($C101="","",VLOOKUP($E101,'📊 SECCIONES'!$B$4:$S$9,16,FALSE()))</f>
        <v>0.24395028956990591</v>
      </c>
      <c r="M101" s="73">
        <f>IF($C101="","",VLOOKUP($E101,'📊 SECCIONES'!$B$4:$S$9,17,FALSE()))</f>
        <v>0.34507772020725386</v>
      </c>
      <c r="N101" s="73">
        <f>IF($C101="","",VLOOKUP($E101,'📊 SECCIONES'!$B$4:$S$9,18,FALSE()))</f>
        <v>0.70909090909090911</v>
      </c>
      <c r="O101" s="74">
        <f>IF($C101="","",ROUND('⚙️ SUPUESTOS'!$C$21*K101+'⚙️ SUPUESTOS'!$C$22*L101+'⚙️ SUPUESTOS'!$C$23*M101+'⚙️ SUPUESTOS'!$C$24*N101,4))</f>
        <v>0.31540000000000001</v>
      </c>
      <c r="P101" s="75">
        <f>IF($C101="","",VLOOKUP($E101,'📊 SECCIONES'!$B$4:$S$9,7,FALSE()))</f>
        <v>29.81</v>
      </c>
      <c r="Q101" s="76">
        <f>IF($C101="","",VLOOKUP($E101,'📊 SECCIONES'!$B$4:$S$9,8,FALSE()))</f>
        <v>23665</v>
      </c>
      <c r="R101" s="75">
        <f>IF($C101="","",VLOOKUP($E101,'📊 SECCIONES'!$B$4:$S$9,10,FALSE()))</f>
        <v>26.2</v>
      </c>
      <c r="S101" s="72">
        <f>IF('📇 INVENTARIO'!K103="","",'📇 INVENTARIO'!K103)</f>
        <v>5</v>
      </c>
      <c r="T101" s="77" t="str">
        <f t="shared" si="4"/>
        <v>Objetivo: alcanzar calificación C. Actual: Cal.F. SATE integral + cubierta + carpinterías triple + aerotermia + instalación fotovoltaica</v>
      </c>
      <c r="U101" s="70" t="str">
        <f t="shared" si="5"/>
        <v>Valorar ascensor (verificar)</v>
      </c>
      <c r="V101" s="78">
        <f>IF('📇 INVENTARIO'!L103="","",'📇 INVENTARIO'!L103)</f>
        <v>469.5</v>
      </c>
      <c r="W101" s="75">
        <f>IF($C101="","",V101*'⚙️ SUPUESTOS'!$C$8*'⚙️ SUPUESTOS'!$C$9)</f>
        <v>98.594999999999999</v>
      </c>
      <c r="X101" s="78">
        <f>IF('📇 INVENTARIO'!N103="","",'📇 INVENTARIO'!N103)</f>
        <v>1248</v>
      </c>
      <c r="Y101" s="78">
        <f>IF($C101="","",W101*X101*'⚙️ SUPUESTOS'!$C$7)</f>
        <v>110741.90399999999</v>
      </c>
      <c r="Z101" s="76">
        <f>IF($C101="","",W101*'⚙️ SUPUESTOS'!$C$10)</f>
        <v>131624.32500000001</v>
      </c>
      <c r="AA101" s="76">
        <f>IF($C101="","",Y101*('⚙️ SUPUESTOS'!$C$12*'⚙️ SUPUESTOS'!$C$11+(1-'⚙️ SUPUESTOS'!$C$12)*'⚙️ SUPUESTOS'!$C$13))</f>
        <v>7552.5978528000005</v>
      </c>
      <c r="AB101" s="76">
        <f>IF($C101="","",IF(Y101&gt;0,ROUND(Y101*'⚙️ SUPUESTOS'!$C$12*'⚙️ SUPUESTOS'!$C$11,0),""))</f>
        <v>2769</v>
      </c>
      <c r="AC101" s="76">
        <f>IF($C101="","",IF(Y101&gt;0,ROUND(Y101*(1-'⚙️ SUPUESTOS'!$C$12)*'⚙️ SUPUESTOS'!$C$13,0),""))</f>
        <v>4784</v>
      </c>
      <c r="AD101" s="65">
        <f t="shared" si="6"/>
        <v>57191</v>
      </c>
      <c r="AE101" s="64">
        <f t="shared" si="7"/>
        <v>17.42768879865654</v>
      </c>
      <c r="AF101" s="59" t="str">
        <f>IF($C101="","",IF(AE101="","—",IF(AE101&lt;='⚙️ SUPUESTOS'!$C$32,"✔ Muy recomendable",IF(AE101&lt;='⚙️ SUPUESTOS'!$C$33,"✔ Recomendable","Valorar"))))</f>
        <v>Valorar</v>
      </c>
      <c r="AG101" s="68">
        <f>IF('📇 INVENTARIO'!O102="","",'📇 INVENTARIO'!O102)</f>
        <v>41.647959999999998</v>
      </c>
      <c r="AH101" s="68">
        <f>IF('📇 INVENTARIO'!P102="","",'📇 INVENTARIO'!P102)</f>
        <v>-4.7099799999999998</v>
      </c>
    </row>
    <row r="102" spans="1:34" ht="45" customHeight="1">
      <c r="A102" s="58">
        <f>IF($C102="","",RANK(O102,$O$3:$O$265,0)+COUNTIF($O$3:O102,O102)-1)</f>
        <v>100</v>
      </c>
      <c r="B102" s="59" t="str">
        <f>IF($C102="","",IF(A102&lt;='⚙️ SUPUESTOS'!$C$29,"Fase 1",IF(A102&lt;='⚙️ SUPUESTOS'!$C$30,"Fase 2","Fase 3")))</f>
        <v>Fase 2</v>
      </c>
      <c r="C102" s="60" t="str">
        <f>IF('📇 INVENTARIO'!B104="","",'📇 INVENTARIO'!B104)</f>
        <v>C/ Avestruz, 2</v>
      </c>
      <c r="D102" s="59" t="str">
        <f>IF('📇 INVENTARIO'!C104="","",'📇 INVENTARIO'!C104)</f>
        <v>7723701UM5172D</v>
      </c>
      <c r="E102" s="59" t="str">
        <f>IF('📇 INVENTARIO'!D104="","",'📇 INVENTARIO'!D104)</f>
        <v>4718606027</v>
      </c>
      <c r="F102" s="59" t="str">
        <f>IF('📇 INVENTARIO'!F104="","",'📇 INVENTARIO'!F104)</f>
        <v>F</v>
      </c>
      <c r="G102" s="61">
        <f>IF('📇 INVENTARIO'!G104="","",'📇 INVENTARIO'!G104)</f>
        <v>296</v>
      </c>
      <c r="H102" s="61">
        <f>IF('📇 INVENTARIO'!H104="","",'📇 INVENTARIO'!H104)</f>
        <v>62</v>
      </c>
      <c r="I102" s="61">
        <f>IF('📇 INVENTARIO'!I104="","",'📇 INVENTARIO'!I104)</f>
        <v>159.19999999999999</v>
      </c>
      <c r="J102" s="61">
        <f>IF('📇 INVENTARIO'!J104="","",'📇 INVENTARIO'!J104)</f>
        <v>1963</v>
      </c>
      <c r="K102" s="62">
        <f>IF($C102="","",(G102-'⚙️ SUPUESTOS'!$C$20)/('⚙️ SUPUESTOS'!$C$25-'⚙️ SUPUESTOS'!$C$20))</f>
        <v>0.26333907056798622</v>
      </c>
      <c r="L102" s="62">
        <f>IF($C102="","",VLOOKUP($E102,'📊 SECCIONES'!$B$4:$S$9,16,FALSE()))</f>
        <v>0.19481959841367916</v>
      </c>
      <c r="M102" s="62">
        <f>IF($C102="","",VLOOKUP($E102,'📊 SECCIONES'!$B$4:$S$9,17,FALSE()))</f>
        <v>0.2663212435233161</v>
      </c>
      <c r="N102" s="62">
        <f>IF($C102="","",VLOOKUP($E102,'📊 SECCIONES'!$B$4:$S$9,18,FALSE()))</f>
        <v>1</v>
      </c>
      <c r="O102" s="63">
        <f>IF($C102="","",ROUND('⚙️ SUPUESTOS'!$C$21*K102+'⚙️ SUPUESTOS'!$C$22*L102+'⚙️ SUPUESTOS'!$C$23*M102+'⚙️ SUPUESTOS'!$C$24*N102,4))</f>
        <v>0.315</v>
      </c>
      <c r="P102" s="64">
        <f>IF($C102="","",VLOOKUP($E102,'📊 SECCIONES'!$B$4:$S$9,7,FALSE()))</f>
        <v>24.5</v>
      </c>
      <c r="Q102" s="65">
        <f>IF($C102="","",VLOOKUP($E102,'📊 SECCIONES'!$B$4:$S$9,8,FALSE()))</f>
        <v>25206</v>
      </c>
      <c r="R102" s="64">
        <f>IF($C102="","",VLOOKUP($E102,'📊 SECCIONES'!$B$4:$S$9,10,FALSE()))</f>
        <v>32.6</v>
      </c>
      <c r="S102" s="61">
        <f>IF('📇 INVENTARIO'!K104="","",'📇 INVENTARIO'!K104)</f>
        <v>5</v>
      </c>
      <c r="T102" s="66" t="str">
        <f t="shared" si="4"/>
        <v>Objetivo: alcanzar calificación C. Actual: Cal.F. SATE integral + cubierta + carpinterías triple + aerotermia + instalación fotovoltaica</v>
      </c>
      <c r="U102" s="59" t="str">
        <f t="shared" si="5"/>
        <v>Valorar ascensor (verificar)</v>
      </c>
      <c r="V102" s="67">
        <f>IF('📇 INVENTARIO'!L104="","",'📇 INVENTARIO'!L104)</f>
        <v>157</v>
      </c>
      <c r="W102" s="64">
        <f>IF($C102="","",V102*'⚙️ SUPUESTOS'!$C$8*'⚙️ SUPUESTOS'!$C$9)</f>
        <v>32.97</v>
      </c>
      <c r="X102" s="67">
        <f>IF('📇 INVENTARIO'!N104="","",'📇 INVENTARIO'!N104)</f>
        <v>1464</v>
      </c>
      <c r="Y102" s="67">
        <f>IF($C102="","",W102*X102*'⚙️ SUPUESTOS'!$C$7)</f>
        <v>43441.272000000004</v>
      </c>
      <c r="Z102" s="65">
        <f>IF($C102="","",W102*'⚙️ SUPUESTOS'!$C$10)</f>
        <v>44014.95</v>
      </c>
      <c r="AA102" s="65">
        <f>IF($C102="","",Y102*('⚙️ SUPUESTOS'!$C$12*'⚙️ SUPUESTOS'!$C$11+(1-'⚙️ SUPUESTOS'!$C$12)*'⚙️ SUPUESTOS'!$C$13))</f>
        <v>2962.6947504000009</v>
      </c>
      <c r="AB102" s="65">
        <f>IF($C102="","",IF(Y102&gt;0,ROUND(Y102*'⚙️ SUPUESTOS'!$C$12*'⚙️ SUPUESTOS'!$C$11,0),""))</f>
        <v>1086</v>
      </c>
      <c r="AC102" s="65">
        <f>IF($C102="","",IF(Y102&gt;0,ROUND(Y102*(1-'⚙️ SUPUESTOS'!$C$12)*'⚙️ SUPUESTOS'!$C$13,0),""))</f>
        <v>1877</v>
      </c>
      <c r="AD102" s="76">
        <f t="shared" si="6"/>
        <v>30052</v>
      </c>
      <c r="AE102" s="75">
        <f t="shared" si="7"/>
        <v>14.856390451313766</v>
      </c>
      <c r="AF102" s="70" t="str">
        <f>IF($C102="","",IF(AE102="","—",IF(AE102&lt;='⚙️ SUPUESTOS'!$C$32,"✔ Muy recomendable",IF(AE102&lt;='⚙️ SUPUESTOS'!$C$33,"✔ Recomendable","Valorar"))))</f>
        <v>✔ Muy recomendable</v>
      </c>
      <c r="AG102" s="79">
        <f>IF('📇 INVENTARIO'!O103="","",'📇 INVENTARIO'!O103)</f>
        <v>41.647674000000002</v>
      </c>
      <c r="AH102" s="79">
        <f>IF('📇 INVENTARIO'!P103="","",'📇 INVENTARIO'!P103)</f>
        <v>-4.7100369999999998</v>
      </c>
    </row>
    <row r="103" spans="1:34" ht="45" customHeight="1">
      <c r="A103" s="69">
        <f>IF($C103="","",RANK(O103,$O$3:$O$265,0)+COUNTIF($O$3:O103,O103)-1)</f>
        <v>101</v>
      </c>
      <c r="B103" s="70" t="str">
        <f>IF($C103="","",IF(A103&lt;='⚙️ SUPUESTOS'!$C$29,"Fase 1",IF(A103&lt;='⚙️ SUPUESTOS'!$C$30,"Fase 2","Fase 3")))</f>
        <v>Fase 2</v>
      </c>
      <c r="C103" s="71" t="str">
        <f>IF('📇 INVENTARIO'!B101="","",'📇 INVENTARIO'!B101)</f>
        <v>C/ Cisne, 3</v>
      </c>
      <c r="D103" s="70" t="str">
        <f>IF('📇 INVENTARIO'!C101="","",'📇 INVENTARIO'!C101)</f>
        <v>7825705UM5172F</v>
      </c>
      <c r="E103" s="70" t="str">
        <f>IF('📇 INVENTARIO'!D101="","",'📇 INVENTARIO'!D101)</f>
        <v>4718606023</v>
      </c>
      <c r="F103" s="70" t="str">
        <f>IF('📇 INVENTARIO'!F101="","",'📇 INVENTARIO'!F101)</f>
        <v>E</v>
      </c>
      <c r="G103" s="72">
        <f>IF('📇 INVENTARIO'!G101="","",'📇 INVENTARIO'!G101)</f>
        <v>234</v>
      </c>
      <c r="H103" s="72">
        <f>IF('📇 INVENTARIO'!H101="","",'📇 INVENTARIO'!H101)</f>
        <v>49</v>
      </c>
      <c r="I103" s="72">
        <f>IF('📇 INVENTARIO'!I101="","",'📇 INVENTARIO'!I101)</f>
        <v>99.3</v>
      </c>
      <c r="J103" s="72">
        <f>IF('📇 INVENTARIO'!J101="","",'📇 INVENTARIO'!J101)</f>
        <v>1967</v>
      </c>
      <c r="K103" s="73">
        <f>IF($C103="","",(G103-'⚙️ SUPUESTOS'!$C$20)/('⚙️ SUPUESTOS'!$C$25-'⚙️ SUPUESTOS'!$C$20))</f>
        <v>0.15662650602409639</v>
      </c>
      <c r="L103" s="73">
        <f>IF($C103="","",VLOOKUP($E103,'📊 SECCIONES'!$B$4:$S$9,16,FALSE()))</f>
        <v>0.54128061278831963</v>
      </c>
      <c r="M103" s="73">
        <f>IF($C103="","",VLOOKUP($E103,'📊 SECCIONES'!$B$4:$S$9,17,FALSE()))</f>
        <v>0.59585492227979275</v>
      </c>
      <c r="N103" s="73">
        <f>IF($C103="","",VLOOKUP($E103,'📊 SECCIONES'!$B$4:$S$9,18,FALSE()))</f>
        <v>0.28636363636363632</v>
      </c>
      <c r="O103" s="74">
        <f>IF($C103="","",ROUND('⚙️ SUPUESTOS'!$C$21*K103+'⚙️ SUPUESTOS'!$C$22*L103+'⚙️ SUPUESTOS'!$C$23*M103+'⚙️ SUPUESTOS'!$C$24*N103,4))</f>
        <v>0.31440000000000001</v>
      </c>
      <c r="P103" s="75">
        <f>IF($C103="","",VLOOKUP($E103,'📊 SECCIONES'!$B$4:$S$9,7,FALSE()))</f>
        <v>39.409999999999997</v>
      </c>
      <c r="Q103" s="76">
        <f>IF($C103="","",VLOOKUP($E103,'📊 SECCIONES'!$B$4:$S$9,8,FALSE()))</f>
        <v>22486</v>
      </c>
      <c r="R103" s="75">
        <f>IF($C103="","",VLOOKUP($E103,'📊 SECCIONES'!$B$4:$S$9,10,FALSE()))</f>
        <v>16.899999999999999</v>
      </c>
      <c r="S103" s="72">
        <f>IF('📇 INVENTARIO'!K101="","",'📇 INVENTARIO'!K101)</f>
        <v>5</v>
      </c>
      <c r="T103" s="77" t="str">
        <f t="shared" si="4"/>
        <v>Objetivo: alcanzar calificación C. Actual: Cal.E. SATE fachada + carpinterías doble + instalación fotovoltaica</v>
      </c>
      <c r="U103" s="70" t="str">
        <f t="shared" si="5"/>
        <v>Valorar ascensor (verificar)</v>
      </c>
      <c r="V103" s="78">
        <f>IF('📇 INVENTARIO'!L101="","",'📇 INVENTARIO'!L101)</f>
        <v>509.1</v>
      </c>
      <c r="W103" s="75">
        <f>IF($C103="","",V103*'⚙️ SUPUESTOS'!$C$8*'⚙️ SUPUESTOS'!$C$9)</f>
        <v>106.911</v>
      </c>
      <c r="X103" s="78">
        <f>IF('📇 INVENTARIO'!N101="","",'📇 INVENTARIO'!N101)</f>
        <v>1506</v>
      </c>
      <c r="Y103" s="78">
        <f>IF($C103="","",W103*X103*'⚙️ SUPUESTOS'!$C$7)</f>
        <v>144907.16940000001</v>
      </c>
      <c r="Z103" s="76">
        <f>IF($C103="","",W103*'⚙️ SUPUESTOS'!$C$10)</f>
        <v>142726.185</v>
      </c>
      <c r="AA103" s="76">
        <f>IF($C103="","",Y103*('⚙️ SUPUESTOS'!$C$12*'⚙️ SUPUESTOS'!$C$11+(1-'⚙️ SUPUESTOS'!$C$12)*'⚙️ SUPUESTOS'!$C$13))</f>
        <v>9882.6689530800031</v>
      </c>
      <c r="AB103" s="76">
        <f>IF($C103="","",IF(Y103&gt;0,ROUND(Y103*'⚙️ SUPUESTOS'!$C$12*'⚙️ SUPUESTOS'!$C$11,0),""))</f>
        <v>3623</v>
      </c>
      <c r="AC103" s="76">
        <f>IF($C103="","",IF(Y103&gt;0,ROUND(Y103*(1-'⚙️ SUPUESTOS'!$C$12)*'⚙️ SUPUESTOS'!$C$13,0),""))</f>
        <v>6260</v>
      </c>
      <c r="AD103" s="65">
        <f t="shared" si="6"/>
        <v>104341</v>
      </c>
      <c r="AE103" s="64">
        <f t="shared" si="7"/>
        <v>14.442068805261192</v>
      </c>
      <c r="AF103" s="59" t="str">
        <f>IF($C103="","",IF(AE103="","—",IF(AE103&lt;='⚙️ SUPUESTOS'!$C$32,"✔ Muy recomendable",IF(AE103&lt;='⚙️ SUPUESTOS'!$C$33,"✔ Recomendable","Valorar"))))</f>
        <v>✔ Muy recomendable</v>
      </c>
      <c r="AG103" s="68">
        <f>IF('📇 INVENTARIO'!O104="","",'📇 INVENTARIO'!O104)</f>
        <v>41.647989000000003</v>
      </c>
      <c r="AH103" s="68">
        <f>IF('📇 INVENTARIO'!P104="","",'📇 INVENTARIO'!P104)</f>
        <v>-4.7103260000000002</v>
      </c>
    </row>
    <row r="104" spans="1:34" ht="45" customHeight="1">
      <c r="A104" s="58">
        <f>IF($C104="","",RANK(O104,$O$3:$O$265,0)+COUNTIF($O$3:O104,O104)-1)</f>
        <v>102</v>
      </c>
      <c r="B104" s="59" t="str">
        <f>IF($C104="","",IF(A104&lt;='⚙️ SUPUESTOS'!$C$29,"Fase 1",IF(A104&lt;='⚙️ SUPUESTOS'!$C$30,"Fase 2","Fase 3")))</f>
        <v>Fase 2</v>
      </c>
      <c r="C104" s="60" t="str">
        <f>IF('📇 INVENTARIO'!B108="","",'📇 INVENTARIO'!B108)</f>
        <v>C/ Cigüeña, 40</v>
      </c>
      <c r="D104" s="59" t="str">
        <f>IF('📇 INVENTARIO'!C108="","",'📇 INVENTARIO'!C108)</f>
        <v>7924212UM5172D</v>
      </c>
      <c r="E104" s="59" t="str">
        <f>IF('📇 INVENTARIO'!D108="","",'📇 INVENTARIO'!D108)</f>
        <v>4718606024</v>
      </c>
      <c r="F104" s="59" t="str">
        <f>IF('📇 INVENTARIO'!F108="","",'📇 INVENTARIO'!F108)</f>
        <v>G</v>
      </c>
      <c r="G104" s="61">
        <f>IF('📇 INVENTARIO'!G108="","",'📇 INVENTARIO'!G108)</f>
        <v>344</v>
      </c>
      <c r="H104" s="61">
        <f>IF('📇 INVENTARIO'!H108="","",'📇 INVENTARIO'!H108)</f>
        <v>73</v>
      </c>
      <c r="I104" s="61">
        <f>IF('📇 INVENTARIO'!I108="","",'📇 INVENTARIO'!I108)</f>
        <v>147.19999999999999</v>
      </c>
      <c r="J104" s="61">
        <f>IF('📇 INVENTARIO'!J108="","",'📇 INVENTARIO'!J108)</f>
        <v>1965</v>
      </c>
      <c r="K104" s="62">
        <f>IF($C104="","",(G104-'⚙️ SUPUESTOS'!$C$20)/('⚙️ SUPUESTOS'!$C$25-'⚙️ SUPUESTOS'!$C$20))</f>
        <v>0.34595524956970741</v>
      </c>
      <c r="L104" s="62">
        <f>IF($C104="","",VLOOKUP($E104,'📊 SECCIONES'!$B$4:$S$9,16,FALSE()))</f>
        <v>0.13391192517993736</v>
      </c>
      <c r="M104" s="62">
        <f>IF($C104="","",VLOOKUP($E104,'📊 SECCIONES'!$B$4:$S$9,17,FALSE()))</f>
        <v>0.16476683937823833</v>
      </c>
      <c r="N104" s="62">
        <f>IF($C104="","",VLOOKUP($E104,'📊 SECCIONES'!$B$4:$S$9,18,FALSE()))</f>
        <v>0.79545454545454541</v>
      </c>
      <c r="O104" s="63">
        <f>IF($C104="","",ROUND('⚙️ SUPUESTOS'!$C$21*K104+'⚙️ SUPUESTOS'!$C$22*L104+'⚙️ SUPUESTOS'!$C$23*M104+'⚙️ SUPUESTOS'!$C$24*N104,4))</f>
        <v>0.31440000000000001</v>
      </c>
      <c r="P104" s="64">
        <f>IF($C104="","",VLOOKUP($E104,'📊 SECCIONES'!$B$4:$S$9,7,FALSE()))</f>
        <v>30.06</v>
      </c>
      <c r="Q104" s="65">
        <f>IF($C104="","",VLOOKUP($E104,'📊 SECCIONES'!$B$4:$S$9,8,FALSE()))</f>
        <v>25132</v>
      </c>
      <c r="R104" s="64">
        <f>IF($C104="","",VLOOKUP($E104,'📊 SECCIONES'!$B$4:$S$9,10,FALSE()))</f>
        <v>28.1</v>
      </c>
      <c r="S104" s="61">
        <f>IF('📇 INVENTARIO'!K108="","",'📇 INVENTARIO'!K108)</f>
        <v>3</v>
      </c>
      <c r="T104" s="66" t="str">
        <f t="shared" si="4"/>
        <v>Objetivo: alcanzar calificación C. Actual: Cal.G. SATE integral + cubierta + carpinterías triple + aerotermia + instalación fotovoltaica</v>
      </c>
      <c r="U104" s="59" t="str">
        <f t="shared" si="5"/>
        <v>—</v>
      </c>
      <c r="V104" s="67">
        <f>IF('📇 INVENTARIO'!L108="","",'📇 INVENTARIO'!L108)</f>
        <v>115.6</v>
      </c>
      <c r="W104" s="64">
        <f>IF($C104="","",V104*'⚙️ SUPUESTOS'!$C$8*'⚙️ SUPUESTOS'!$C$9)</f>
        <v>24.275999999999996</v>
      </c>
      <c r="X104" s="67">
        <f>IF('📇 INVENTARIO'!N108="","",'📇 INVENTARIO'!N108)</f>
        <v>1374</v>
      </c>
      <c r="Y104" s="67">
        <f>IF($C104="","",W104*X104*'⚙️ SUPUESTOS'!$C$7)</f>
        <v>30019.701599999997</v>
      </c>
      <c r="Z104" s="65">
        <f>IF($C104="","",W104*'⚙️ SUPUESTOS'!$C$10)</f>
        <v>32408.459999999995</v>
      </c>
      <c r="AA104" s="65">
        <f>IF($C104="","",Y104*('⚙️ SUPUESTOS'!$C$12*'⚙️ SUPUESTOS'!$C$11+(1-'⚙️ SUPUESTOS'!$C$12)*'⚙️ SUPUESTOS'!$C$13))</f>
        <v>2047.34364912</v>
      </c>
      <c r="AB104" s="65">
        <f>IF($C104="","",IF(Y104&gt;0,ROUND(Y104*'⚙️ SUPUESTOS'!$C$12*'⚙️ SUPUESTOS'!$C$11,0),""))</f>
        <v>750</v>
      </c>
      <c r="AC104" s="65">
        <f>IF($C104="","",IF(Y104&gt;0,ROUND(Y104*(1-'⚙️ SUPUESTOS'!$C$12)*'⚙️ SUPUESTOS'!$C$13,0),""))</f>
        <v>1297</v>
      </c>
      <c r="AD104" s="76">
        <f t="shared" si="6"/>
        <v>18775</v>
      </c>
      <c r="AE104" s="75">
        <f t="shared" si="7"/>
        <v>15.829516463408559</v>
      </c>
      <c r="AF104" s="70" t="str">
        <f>IF($C104="","",IF(AE104="","—",IF(AE104&lt;='⚙️ SUPUESTOS'!$C$32,"✔ Muy recomendable",IF(AE104&lt;='⚙️ SUPUESTOS'!$C$33,"✔ Recomendable","Valorar"))))</f>
        <v>✔ Recomendable</v>
      </c>
      <c r="AG104" s="79">
        <f>IF('📇 INVENTARIO'!O105="","",'📇 INVENTARIO'!O105)</f>
        <v>41.647799999999997</v>
      </c>
      <c r="AH104" s="79">
        <f>IF('📇 INVENTARIO'!P105="","",'📇 INVENTARIO'!P105)</f>
        <v>-4.7099399999999996</v>
      </c>
    </row>
    <row r="105" spans="1:34" ht="45" customHeight="1">
      <c r="A105" s="69">
        <f>IF($C105="","",RANK(O105,$O$3:$O$265,0)+COUNTIF($O$3:O105,O105)-1)</f>
        <v>103</v>
      </c>
      <c r="B105" s="70" t="str">
        <f>IF($C105="","",IF(A105&lt;='⚙️ SUPUESTOS'!$C$29,"Fase 1",IF(A105&lt;='⚙️ SUPUESTOS'!$C$30,"Fase 2","Fase 3")))</f>
        <v>Fase 2</v>
      </c>
      <c r="C105" s="71" t="str">
        <f>IF('📇 INVENTARIO'!B105="","",'📇 INVENTARIO'!B105)</f>
        <v>C/ Águila, 8</v>
      </c>
      <c r="D105" s="70" t="str">
        <f>IF('📇 INVENTARIO'!C105="","",'📇 INVENTARIO'!C105)</f>
        <v>7723411UM5172D</v>
      </c>
      <c r="E105" s="70" t="str">
        <f>IF('📇 INVENTARIO'!D105="","",'📇 INVENTARIO'!D105)</f>
        <v>4718606028</v>
      </c>
      <c r="F105" s="70" t="str">
        <f>IF('📇 INVENTARIO'!F105="","",'📇 INVENTARIO'!F105)</f>
        <v>F</v>
      </c>
      <c r="G105" s="72">
        <f>IF('📇 INVENTARIO'!G105="","",'📇 INVENTARIO'!G105)</f>
        <v>299</v>
      </c>
      <c r="H105" s="72">
        <f>IF('📇 INVENTARIO'!H105="","",'📇 INVENTARIO'!H105)</f>
        <v>63</v>
      </c>
      <c r="I105" s="72">
        <f>IF('📇 INVENTARIO'!I105="","",'📇 INVENTARIO'!I105)</f>
        <v>158.30000000000001</v>
      </c>
      <c r="J105" s="72">
        <f>IF('📇 INVENTARIO'!J105="","",'📇 INVENTARIO'!J105)</f>
        <v>1967</v>
      </c>
      <c r="K105" s="73">
        <f>IF($C105="","",(G105-'⚙️ SUPUESTOS'!$C$20)/('⚙️ SUPUESTOS'!$C$25-'⚙️ SUPUESTOS'!$C$20))</f>
        <v>0.26850258175559383</v>
      </c>
      <c r="L105" s="73">
        <f>IF($C105="","",VLOOKUP($E105,'📊 SECCIONES'!$B$4:$S$9,16,FALSE()))</f>
        <v>0.24395028956990591</v>
      </c>
      <c r="M105" s="73">
        <f>IF($C105="","",VLOOKUP($E105,'📊 SECCIONES'!$B$4:$S$9,17,FALSE()))</f>
        <v>0.34507772020725386</v>
      </c>
      <c r="N105" s="73">
        <f>IF($C105="","",VLOOKUP($E105,'📊 SECCIONES'!$B$4:$S$9,18,FALSE()))</f>
        <v>0.70909090909090911</v>
      </c>
      <c r="O105" s="74">
        <f>IF($C105="","",ROUND('⚙️ SUPUESTOS'!$C$21*K105+'⚙️ SUPUESTOS'!$C$22*L105+'⚙️ SUPUESTOS'!$C$23*M105+'⚙️ SUPUESTOS'!$C$24*N105,4))</f>
        <v>0.3135</v>
      </c>
      <c r="P105" s="75">
        <f>IF($C105="","",VLOOKUP($E105,'📊 SECCIONES'!$B$4:$S$9,7,FALSE()))</f>
        <v>29.81</v>
      </c>
      <c r="Q105" s="76">
        <f>IF($C105="","",VLOOKUP($E105,'📊 SECCIONES'!$B$4:$S$9,8,FALSE()))</f>
        <v>23665</v>
      </c>
      <c r="R105" s="75">
        <f>IF($C105="","",VLOOKUP($E105,'📊 SECCIONES'!$B$4:$S$9,10,FALSE()))</f>
        <v>26.2</v>
      </c>
      <c r="S105" s="72">
        <f>IF('📇 INVENTARIO'!K105="","",'📇 INVENTARIO'!K105)</f>
        <v>6</v>
      </c>
      <c r="T105" s="77" t="str">
        <f t="shared" si="4"/>
        <v>Objetivo: alcanzar calificación C. Actual: Cal.F. SATE integral + cubierta + carpinterías triple + aerotermia + instalación fotovoltaica</v>
      </c>
      <c r="U105" s="70" t="str">
        <f t="shared" si="5"/>
        <v>Valorar ascensor (verificar)</v>
      </c>
      <c r="V105" s="78">
        <f>IF('📇 INVENTARIO'!L105="","",'📇 INVENTARIO'!L105)</f>
        <v>368.9</v>
      </c>
      <c r="W105" s="75">
        <f>IF($C105="","",V105*'⚙️ SUPUESTOS'!$C$8*'⚙️ SUPUESTOS'!$C$9)</f>
        <v>77.468999999999994</v>
      </c>
      <c r="X105" s="78">
        <f>IF('📇 INVENTARIO'!N105="","",'📇 INVENTARIO'!N105)</f>
        <v>1369</v>
      </c>
      <c r="Y105" s="78">
        <f>IF($C105="","",W105*X105*'⚙️ SUPUESTOS'!$C$7)</f>
        <v>95449.554899999988</v>
      </c>
      <c r="Z105" s="76">
        <f>IF($C105="","",W105*'⚙️ SUPUESTOS'!$C$10)</f>
        <v>103421.11499999999</v>
      </c>
      <c r="AA105" s="76">
        <f>IF($C105="","",Y105*('⚙️ SUPUESTOS'!$C$12*'⚙️ SUPUESTOS'!$C$11+(1-'⚙️ SUPUESTOS'!$C$12)*'⚙️ SUPUESTOS'!$C$13))</f>
        <v>6509.6596441800002</v>
      </c>
      <c r="AB105" s="76">
        <f>IF($C105="","",IF(Y105&gt;0,ROUND(Y105*'⚙️ SUPUESTOS'!$C$12*'⚙️ SUPUESTOS'!$C$11,0),""))</f>
        <v>2386</v>
      </c>
      <c r="AC105" s="76">
        <f>IF($C105="","",IF(Y105&gt;0,ROUND(Y105*(1-'⚙️ SUPUESTOS'!$C$12)*'⚙️ SUPUESTOS'!$C$13,0),""))</f>
        <v>4123</v>
      </c>
      <c r="AD105" s="65">
        <f t="shared" si="6"/>
        <v>59320</v>
      </c>
      <c r="AE105" s="64">
        <f t="shared" si="7"/>
        <v>15.887330621419547</v>
      </c>
      <c r="AF105" s="59" t="str">
        <f>IF($C105="","",IF(AE105="","—",IF(AE105&lt;='⚙️ SUPUESTOS'!$C$32,"✔ Muy recomendable",IF(AE105&lt;='⚙️ SUPUESTOS'!$C$33,"✔ Recomendable","Valorar"))))</f>
        <v>✔ Recomendable</v>
      </c>
      <c r="AG105" s="68">
        <f>IF('📇 INVENTARIO'!O106="","",'📇 INVENTARIO'!O106)</f>
        <v>41.649299999999997</v>
      </c>
      <c r="AH105" s="68">
        <f>IF('📇 INVENTARIO'!P106="","",'📇 INVENTARIO'!P106)</f>
        <v>-4.7081</v>
      </c>
    </row>
    <row r="106" spans="1:34" ht="45" customHeight="1">
      <c r="A106" s="69">
        <f>IF($C106="","",RANK(O106,$O$3:$O$265,0)+COUNTIF($O$3:O106,O106)-1)</f>
        <v>104</v>
      </c>
      <c r="B106" s="70" t="str">
        <f>IF($C106="","",IF(A106&lt;='⚙️ SUPUESTOS'!$C$29,"Fase 1",IF(A106&lt;='⚙️ SUPUESTOS'!$C$30,"Fase 2","Fase 3")))</f>
        <v>Fase 2</v>
      </c>
      <c r="C106" s="71" t="str">
        <f>IF('📇 INVENTARIO'!B107="","",'📇 INVENTARIO'!B107)</f>
        <v>C/ Perdiz, 3</v>
      </c>
      <c r="D106" s="70" t="str">
        <f>IF('📇 INVENTARIO'!C107="","",'📇 INVENTARIO'!C107)</f>
        <v>7723701UM5172D</v>
      </c>
      <c r="E106" s="70" t="str">
        <f>IF('📇 INVENTARIO'!D107="","",'📇 INVENTARIO'!D107)</f>
        <v>4718606027</v>
      </c>
      <c r="F106" s="70" t="str">
        <f>IF('📇 INVENTARIO'!F107="","",'📇 INVENTARIO'!F107)</f>
        <v>F</v>
      </c>
      <c r="G106" s="72">
        <f>IF('📇 INVENTARIO'!G107="","",'📇 INVENTARIO'!G107)</f>
        <v>293</v>
      </c>
      <c r="H106" s="72">
        <f>IF('📇 INVENTARIO'!H107="","",'📇 INVENTARIO'!H107)</f>
        <v>62</v>
      </c>
      <c r="I106" s="72">
        <f>IF('📇 INVENTARIO'!I107="","",'📇 INVENTARIO'!I107)</f>
        <v>150.69999999999999</v>
      </c>
      <c r="J106" s="72">
        <f>IF('📇 INVENTARIO'!J107="","",'📇 INVENTARIO'!J107)</f>
        <v>1963</v>
      </c>
      <c r="K106" s="73">
        <f>IF($C106="","",(G106-'⚙️ SUPUESTOS'!$C$20)/('⚙️ SUPUESTOS'!$C$25-'⚙️ SUPUESTOS'!$C$20))</f>
        <v>0.25817555938037867</v>
      </c>
      <c r="L106" s="73">
        <f>IF($C106="","",VLOOKUP($E106,'📊 SECCIONES'!$B$4:$S$9,16,FALSE()))</f>
        <v>0.19481959841367916</v>
      </c>
      <c r="M106" s="73">
        <f>IF($C106="","",VLOOKUP($E106,'📊 SECCIONES'!$B$4:$S$9,17,FALSE()))</f>
        <v>0.2663212435233161</v>
      </c>
      <c r="N106" s="73">
        <f>IF($C106="","",VLOOKUP($E106,'📊 SECCIONES'!$B$4:$S$9,18,FALSE()))</f>
        <v>1</v>
      </c>
      <c r="O106" s="74">
        <f>IF($C106="","",ROUND('⚙️ SUPUESTOS'!$C$21*K106+'⚙️ SUPUESTOS'!$C$22*L106+'⚙️ SUPUESTOS'!$C$23*M106+'⚙️ SUPUESTOS'!$C$24*N106,4))</f>
        <v>0.31209999999999999</v>
      </c>
      <c r="P106" s="75">
        <f>IF($C106="","",VLOOKUP($E106,'📊 SECCIONES'!$B$4:$S$9,7,FALSE()))</f>
        <v>24.5</v>
      </c>
      <c r="Q106" s="76">
        <f>IF($C106="","",VLOOKUP($E106,'📊 SECCIONES'!$B$4:$S$9,8,FALSE()))</f>
        <v>25206</v>
      </c>
      <c r="R106" s="75">
        <f>IF($C106="","",VLOOKUP($E106,'📊 SECCIONES'!$B$4:$S$9,10,FALSE()))</f>
        <v>32.6</v>
      </c>
      <c r="S106" s="72">
        <f>IF('📇 INVENTARIO'!K107="","",'📇 INVENTARIO'!K107)</f>
        <v>5</v>
      </c>
      <c r="T106" s="77" t="str">
        <f t="shared" si="4"/>
        <v>Objetivo: alcanzar calificación C. Actual: Cal.F. SATE integral + cubierta + carpinterías triple + aerotermia + instalación fotovoltaica</v>
      </c>
      <c r="U106" s="70" t="str">
        <f t="shared" si="5"/>
        <v>Valorar ascensor (verificar)</v>
      </c>
      <c r="V106" s="78">
        <f>IF('📇 INVENTARIO'!L107="","",'📇 INVENTARIO'!L107)</f>
        <v>157</v>
      </c>
      <c r="W106" s="75">
        <f>IF($C106="","",V106*'⚙️ SUPUESTOS'!$C$8*'⚙️ SUPUESTOS'!$C$9)</f>
        <v>32.97</v>
      </c>
      <c r="X106" s="78">
        <f>IF('📇 INVENTARIO'!N107="","",'📇 INVENTARIO'!N107)</f>
        <v>1464</v>
      </c>
      <c r="Y106" s="78">
        <f>IF($C106="","",W106*X106*'⚙️ SUPUESTOS'!$C$7)</f>
        <v>43441.272000000004</v>
      </c>
      <c r="Z106" s="76">
        <f>IF($C106="","",W106*'⚙️ SUPUESTOS'!$C$10)</f>
        <v>44014.95</v>
      </c>
      <c r="AA106" s="76">
        <f>IF($C106="","",Y106*('⚙️ SUPUESTOS'!$C$12*'⚙️ SUPUESTOS'!$C$11+(1-'⚙️ SUPUESTOS'!$C$12)*'⚙️ SUPUESTOS'!$C$13))</f>
        <v>2962.6947504000009</v>
      </c>
      <c r="AB106" s="76">
        <f>IF($C106="","",IF(Y106&gt;0,ROUND(Y106*'⚙️ SUPUESTOS'!$C$12*'⚙️ SUPUESTOS'!$C$11,0),""))</f>
        <v>1086</v>
      </c>
      <c r="AC106" s="76">
        <f>IF($C106="","",IF(Y106&gt;0,ROUND(Y106*(1-'⚙️ SUPUESTOS'!$C$12)*'⚙️ SUPUESTOS'!$C$13,0),""))</f>
        <v>1877</v>
      </c>
      <c r="AD106" s="76">
        <f t="shared" si="6"/>
        <v>30052</v>
      </c>
      <c r="AE106" s="75">
        <f t="shared" si="7"/>
        <v>14.856390451313766</v>
      </c>
      <c r="AF106" s="70" t="str">
        <f>IF($C106="","",IF(AE106="","—",IF(AE106&lt;='⚙️ SUPUESTOS'!$C$32,"✔ Muy recomendable",IF(AE106&lt;='⚙️ SUPUESTOS'!$C$33,"✔ Recomendable","Valorar"))))</f>
        <v>✔ Muy recomendable</v>
      </c>
      <c r="AG106" s="79">
        <f>IF('📇 INVENTARIO'!O107="","",'📇 INVENTARIO'!O107)</f>
        <v>41.648164000000001</v>
      </c>
      <c r="AH106" s="79">
        <f>IF('📇 INVENTARIO'!P107="","",'📇 INVENTARIO'!P107)</f>
        <v>-4.7102300000000001</v>
      </c>
    </row>
    <row r="107" spans="1:34" ht="45" customHeight="1">
      <c r="A107" s="69">
        <f>IF($C107="","",RANK(O107,$O$3:$O$265,0)+COUNTIF($O$3:O107,O107)-1)</f>
        <v>105</v>
      </c>
      <c r="B107" s="70" t="str">
        <f>IF($C107="","",IF(A107&lt;='⚙️ SUPUESTOS'!$C$29,"Fase 1",IF(A107&lt;='⚙️ SUPUESTOS'!$C$30,"Fase 2","Fase 3")))</f>
        <v>Fase 2</v>
      </c>
      <c r="C107" s="71" t="str">
        <f>IF('📇 INVENTARIO'!B109="","",'📇 INVENTARIO'!B109)</f>
        <v>C/ Codorniz, 1</v>
      </c>
      <c r="D107" s="70" t="str">
        <f>IF('📇 INVENTARIO'!C109="","",'📇 INVENTARIO'!C109)</f>
        <v>7924209UM5172D</v>
      </c>
      <c r="E107" s="70" t="str">
        <f>IF('📇 INVENTARIO'!D109="","",'📇 INVENTARIO'!D109)</f>
        <v>4718606024</v>
      </c>
      <c r="F107" s="70" t="str">
        <f>IF('📇 INVENTARIO'!F109="","",'📇 INVENTARIO'!F109)</f>
        <v>G</v>
      </c>
      <c r="G107" s="72">
        <f>IF('📇 INVENTARIO'!G109="","",'📇 INVENTARIO'!G109)</f>
        <v>341</v>
      </c>
      <c r="H107" s="72">
        <f>IF('📇 INVENTARIO'!H109="","",'📇 INVENTARIO'!H109)</f>
        <v>71.5</v>
      </c>
      <c r="I107" s="72">
        <f>IF('📇 INVENTARIO'!I109="","",'📇 INVENTARIO'!I109)</f>
        <v>164.9</v>
      </c>
      <c r="J107" s="72">
        <f>IF('📇 INVENTARIO'!J109="","",'📇 INVENTARIO'!J109)</f>
        <v>1965</v>
      </c>
      <c r="K107" s="73">
        <f>IF($C107="","",(G107-'⚙️ SUPUESTOS'!$C$20)/('⚙️ SUPUESTOS'!$C$25-'⚙️ SUPUESTOS'!$C$20))</f>
        <v>0.34079173838209981</v>
      </c>
      <c r="L107" s="73">
        <f>IF($C107="","",VLOOKUP($E107,'📊 SECCIONES'!$B$4:$S$9,16,FALSE()))</f>
        <v>0.13391192517993736</v>
      </c>
      <c r="M107" s="73">
        <f>IF($C107="","",VLOOKUP($E107,'📊 SECCIONES'!$B$4:$S$9,17,FALSE()))</f>
        <v>0.16476683937823833</v>
      </c>
      <c r="N107" s="73">
        <f>IF($C107="","",VLOOKUP($E107,'📊 SECCIONES'!$B$4:$S$9,18,FALSE()))</f>
        <v>0.79545454545454541</v>
      </c>
      <c r="O107" s="74">
        <f>IF($C107="","",ROUND('⚙️ SUPUESTOS'!$C$21*K107+'⚙️ SUPUESTOS'!$C$22*L107+'⚙️ SUPUESTOS'!$C$23*M107+'⚙️ SUPUESTOS'!$C$24*N107,4))</f>
        <v>0.31159999999999999</v>
      </c>
      <c r="P107" s="75">
        <f>IF($C107="","",VLOOKUP($E107,'📊 SECCIONES'!$B$4:$S$9,7,FALSE()))</f>
        <v>30.06</v>
      </c>
      <c r="Q107" s="76">
        <f>IF($C107="","",VLOOKUP($E107,'📊 SECCIONES'!$B$4:$S$9,8,FALSE()))</f>
        <v>25132</v>
      </c>
      <c r="R107" s="75">
        <f>IF($C107="","",VLOOKUP($E107,'📊 SECCIONES'!$B$4:$S$9,10,FALSE()))</f>
        <v>28.1</v>
      </c>
      <c r="S107" s="72">
        <f>IF('📇 INVENTARIO'!K109="","",'📇 INVENTARIO'!K109)</f>
        <v>3</v>
      </c>
      <c r="T107" s="77" t="str">
        <f t="shared" si="4"/>
        <v>Objetivo: alcanzar calificación C. Actual: Cal.G. SATE integral + cubierta + carpinterías triple + aerotermia + instalación fotovoltaica</v>
      </c>
      <c r="U107" s="70" t="str">
        <f t="shared" si="5"/>
        <v>—</v>
      </c>
      <c r="V107" s="78">
        <f>IF('📇 INVENTARIO'!L109="","",'📇 INVENTARIO'!L109)</f>
        <v>101.3</v>
      </c>
      <c r="W107" s="75">
        <f>IF($C107="","",V107*'⚙️ SUPUESTOS'!$C$8*'⚙️ SUPUESTOS'!$C$9)</f>
        <v>21.273</v>
      </c>
      <c r="X107" s="78">
        <f>IF('📇 INVENTARIO'!N109="","",'📇 INVENTARIO'!N109)</f>
        <v>1462</v>
      </c>
      <c r="Y107" s="78">
        <f>IF($C107="","",W107*X107*'⚙️ SUPUESTOS'!$C$7)</f>
        <v>27991.0134</v>
      </c>
      <c r="Z107" s="76">
        <f>IF($C107="","",W107*'⚙️ SUPUESTOS'!$C$10)</f>
        <v>28399.454999999998</v>
      </c>
      <c r="AA107" s="76">
        <f>IF($C107="","",Y107*('⚙️ SUPUESTOS'!$C$12*'⚙️ SUPUESTOS'!$C$11+(1-'⚙️ SUPUESTOS'!$C$12)*'⚙️ SUPUESTOS'!$C$13))</f>
        <v>1908.9871138800004</v>
      </c>
      <c r="AB107" s="76">
        <f>IF($C107="","",IF(Y107&gt;0,ROUND(Y107*'⚙️ SUPUESTOS'!$C$12*'⚙️ SUPUESTOS'!$C$11,0),""))</f>
        <v>700</v>
      </c>
      <c r="AC107" s="76">
        <f>IF($C107="","",IF(Y107&gt;0,ROUND(Y107*(1-'⚙️ SUPUESTOS'!$C$12)*'⚙️ SUPUESTOS'!$C$13,0),""))</f>
        <v>1209</v>
      </c>
      <c r="AD107" s="65">
        <f t="shared" si="6"/>
        <v>19325</v>
      </c>
      <c r="AE107" s="64">
        <f t="shared" si="7"/>
        <v>14.87671383086413</v>
      </c>
      <c r="AF107" s="59" t="str">
        <f>IF($C107="","",IF(AE107="","—",IF(AE107&lt;='⚙️ SUPUESTOS'!$C$32,"✔ Muy recomendable",IF(AE107&lt;='⚙️ SUPUESTOS'!$C$33,"✔ Recomendable","Valorar"))))</f>
        <v>✔ Muy recomendable</v>
      </c>
      <c r="AG107" s="68">
        <f>IF('📇 INVENTARIO'!O108="","",'📇 INVENTARIO'!O108)</f>
        <v>41.649290000000001</v>
      </c>
      <c r="AH107" s="68">
        <f>IF('📇 INVENTARIO'!P108="","",'📇 INVENTARIO'!P108)</f>
        <v>-4.70777</v>
      </c>
    </row>
    <row r="108" spans="1:34" ht="45" customHeight="1">
      <c r="A108" s="58">
        <f>IF($C108="","",RANK(O108,$O$3:$O$265,0)+COUNTIF($O$3:O108,O108)-1)</f>
        <v>106</v>
      </c>
      <c r="B108" s="59" t="str">
        <f>IF($C108="","",IF(A108&lt;='⚙️ SUPUESTOS'!$C$29,"Fase 1",IF(A108&lt;='⚙️ SUPUESTOS'!$C$30,"Fase 2","Fase 3")))</f>
        <v>Fase 2</v>
      </c>
      <c r="C108" s="60" t="str">
        <f>IF('📇 INVENTARIO'!B106="","",'📇 INVENTARIO'!B106)</f>
        <v>C/ Cigüeña, 51</v>
      </c>
      <c r="D108" s="59" t="str">
        <f>IF('📇 INVENTARIO'!C106="","",'📇 INVENTARIO'!C106)</f>
        <v>7825412UM5172F</v>
      </c>
      <c r="E108" s="59" t="str">
        <f>IF('📇 INVENTARIO'!D106="","",'📇 INVENTARIO'!D106)</f>
        <v>4718606023</v>
      </c>
      <c r="F108" s="59" t="str">
        <f>IF('📇 INVENTARIO'!F106="","",'📇 INVENTARIO'!F106)</f>
        <v>F</v>
      </c>
      <c r="G108" s="61">
        <f>IF('📇 INVENTARIO'!G106="","",'📇 INVENTARIO'!G106)</f>
        <v>229</v>
      </c>
      <c r="H108" s="61">
        <f>IF('📇 INVENTARIO'!H106="","",'📇 INVENTARIO'!H106)</f>
        <v>48</v>
      </c>
      <c r="I108" s="61">
        <f>IF('📇 INVENTARIO'!I106="","",'📇 INVENTARIO'!I106)</f>
        <v>123.9</v>
      </c>
      <c r="J108" s="61">
        <f>IF('📇 INVENTARIO'!J106="","",'📇 INVENTARIO'!J106)</f>
        <v>1965</v>
      </c>
      <c r="K108" s="62">
        <f>IF($C108="","",(G108-'⚙️ SUPUESTOS'!$C$20)/('⚙️ SUPUESTOS'!$C$25-'⚙️ SUPUESTOS'!$C$20))</f>
        <v>0.14802065404475043</v>
      </c>
      <c r="L108" s="62">
        <f>IF($C108="","",VLOOKUP($E108,'📊 SECCIONES'!$B$4:$S$9,16,FALSE()))</f>
        <v>0.54128061278831963</v>
      </c>
      <c r="M108" s="62">
        <f>IF($C108="","",VLOOKUP($E108,'📊 SECCIONES'!$B$4:$S$9,17,FALSE()))</f>
        <v>0.59585492227979275</v>
      </c>
      <c r="N108" s="62">
        <f>IF($C108="","",VLOOKUP($E108,'📊 SECCIONES'!$B$4:$S$9,18,FALSE()))</f>
        <v>0.28636363636363632</v>
      </c>
      <c r="O108" s="63">
        <f>IF($C108="","",ROUND('⚙️ SUPUESTOS'!$C$21*K108+'⚙️ SUPUESTOS'!$C$22*L108+'⚙️ SUPUESTOS'!$C$23*M108+'⚙️ SUPUESTOS'!$C$24*N108,4))</f>
        <v>0.30969999999999998</v>
      </c>
      <c r="P108" s="64">
        <f>IF($C108="","",VLOOKUP($E108,'📊 SECCIONES'!$B$4:$S$9,7,FALSE()))</f>
        <v>39.409999999999997</v>
      </c>
      <c r="Q108" s="65">
        <f>IF($C108="","",VLOOKUP($E108,'📊 SECCIONES'!$B$4:$S$9,8,FALSE()))</f>
        <v>22486</v>
      </c>
      <c r="R108" s="64">
        <f>IF($C108="","",VLOOKUP($E108,'📊 SECCIONES'!$B$4:$S$9,10,FALSE()))</f>
        <v>16.899999999999999</v>
      </c>
      <c r="S108" s="61">
        <f>IF('📇 INVENTARIO'!K106="","",'📇 INVENTARIO'!K106)</f>
        <v>3</v>
      </c>
      <c r="T108" s="66" t="str">
        <f t="shared" si="4"/>
        <v>Objetivo: alcanzar calificación C. Actual: Cal.F. SATE integral + cubierta + carpinterías triple + aerotermia + instalación fotovoltaica</v>
      </c>
      <c r="U108" s="59" t="str">
        <f t="shared" si="5"/>
        <v>—</v>
      </c>
      <c r="V108" s="67">
        <f>IF('📇 INVENTARIO'!L106="","",'📇 INVENTARIO'!L106)</f>
        <v>97.9</v>
      </c>
      <c r="W108" s="64">
        <f>IF($C108="","",V108*'⚙️ SUPUESTOS'!$C$8*'⚙️ SUPUESTOS'!$C$9)</f>
        <v>20.559000000000001</v>
      </c>
      <c r="X108" s="67">
        <f>IF('📇 INVENTARIO'!N106="","",'📇 INVENTARIO'!N106)</f>
        <v>1338</v>
      </c>
      <c r="Y108" s="67">
        <f>IF($C108="","",W108*X108*'⚙️ SUPUESTOS'!$C$7)</f>
        <v>24757.147800000002</v>
      </c>
      <c r="Z108" s="65">
        <f>IF($C108="","",W108*'⚙️ SUPUESTOS'!$C$10)</f>
        <v>27446.265000000003</v>
      </c>
      <c r="AA108" s="65">
        <f>IF($C108="","",Y108*('⚙️ SUPUESTOS'!$C$12*'⚙️ SUPUESTOS'!$C$11+(1-'⚙️ SUPUESTOS'!$C$12)*'⚙️ SUPUESTOS'!$C$13))</f>
        <v>1688.4374799600005</v>
      </c>
      <c r="AB108" s="65">
        <f>IF($C108="","",IF(Y108&gt;0,ROUND(Y108*'⚙️ SUPUESTOS'!$C$12*'⚙️ SUPUESTOS'!$C$11,0),""))</f>
        <v>619</v>
      </c>
      <c r="AC108" s="65">
        <f>IF($C108="","",IF(Y108&gt;0,ROUND(Y108*(1-'⚙️ SUPUESTOS'!$C$12)*'⚙️ SUPUESTOS'!$C$13,0),""))</f>
        <v>1070</v>
      </c>
      <c r="AD108" s="76">
        <f t="shared" si="6"/>
        <v>14765</v>
      </c>
      <c r="AE108" s="75">
        <f t="shared" si="7"/>
        <v>16.255422735966636</v>
      </c>
      <c r="AF108" s="70" t="str">
        <f>IF($C108="","",IF(AE108="","—",IF(AE108&lt;='⚙️ SUPUESTOS'!$C$32,"✔ Muy recomendable",IF(AE108&lt;='⚙️ SUPUESTOS'!$C$33,"✔ Recomendable","Valorar"))))</f>
        <v>Valorar</v>
      </c>
      <c r="AG108" s="79">
        <f>IF('📇 INVENTARIO'!O109="","",'📇 INVENTARIO'!O109)</f>
        <v>41.649099999999997</v>
      </c>
      <c r="AH108" s="79">
        <f>IF('📇 INVENTARIO'!P109="","",'📇 INVENTARIO'!P109)</f>
        <v>-4.70777</v>
      </c>
    </row>
    <row r="109" spans="1:34" ht="45" customHeight="1">
      <c r="A109" s="58">
        <f>IF($C109="","",RANK(O109,$O$3:$O$265,0)+COUNTIF($O$3:O109,O109)-1)</f>
        <v>107</v>
      </c>
      <c r="B109" s="59" t="str">
        <f>IF($C109="","",IF(A109&lt;='⚙️ SUPUESTOS'!$C$29,"Fase 1",IF(A109&lt;='⚙️ SUPUESTOS'!$C$30,"Fase 2","Fase 3")))</f>
        <v>Fase 2</v>
      </c>
      <c r="C109" s="60" t="str">
        <f>IF('📇 INVENTARIO'!B110="","",'📇 INVENTARIO'!B110)</f>
        <v>C/ Milano, 5</v>
      </c>
      <c r="D109" s="59" t="str">
        <f>IF('📇 INVENTARIO'!C110="","",'📇 INVENTARIO'!C110)</f>
        <v>7924202UM5172D</v>
      </c>
      <c r="E109" s="59" t="str">
        <f>IF('📇 INVENTARIO'!D110="","",'📇 INVENTARIO'!D110)</f>
        <v>4718606024</v>
      </c>
      <c r="F109" s="59" t="str">
        <f>IF('📇 INVENTARIO'!F110="","",'📇 INVENTARIO'!F110)</f>
        <v>G</v>
      </c>
      <c r="G109" s="61">
        <f>IF('📇 INVENTARIO'!G110="","",'📇 INVENTARIO'!G110)</f>
        <v>339</v>
      </c>
      <c r="H109" s="61">
        <f>IF('📇 INVENTARIO'!H110="","",'📇 INVENTARIO'!H110)</f>
        <v>71</v>
      </c>
      <c r="I109" s="61">
        <f>IF('📇 INVENTARIO'!I110="","",'📇 INVENTARIO'!I110)</f>
        <v>191.4</v>
      </c>
      <c r="J109" s="61">
        <f>IF('📇 INVENTARIO'!J110="","",'📇 INVENTARIO'!J110)</f>
        <v>1965</v>
      </c>
      <c r="K109" s="62">
        <f>IF($C109="","",(G109-'⚙️ SUPUESTOS'!$C$20)/('⚙️ SUPUESTOS'!$C$25-'⚙️ SUPUESTOS'!$C$20))</f>
        <v>0.33734939759036142</v>
      </c>
      <c r="L109" s="62">
        <f>IF($C109="","",VLOOKUP($E109,'📊 SECCIONES'!$B$4:$S$9,16,FALSE()))</f>
        <v>0.13391192517993736</v>
      </c>
      <c r="M109" s="62">
        <f>IF($C109="","",VLOOKUP($E109,'📊 SECCIONES'!$B$4:$S$9,17,FALSE()))</f>
        <v>0.16476683937823833</v>
      </c>
      <c r="N109" s="62">
        <f>IF($C109="","",VLOOKUP($E109,'📊 SECCIONES'!$B$4:$S$9,18,FALSE()))</f>
        <v>0.79545454545454541</v>
      </c>
      <c r="O109" s="63">
        <f>IF($C109="","",ROUND('⚙️ SUPUESTOS'!$C$21*K109+'⚙️ SUPUESTOS'!$C$22*L109+'⚙️ SUPUESTOS'!$C$23*M109+'⚙️ SUPUESTOS'!$C$24*N109,4))</f>
        <v>0.30969999999999998</v>
      </c>
      <c r="P109" s="64">
        <f>IF($C109="","",VLOOKUP($E109,'📊 SECCIONES'!$B$4:$S$9,7,FALSE()))</f>
        <v>30.06</v>
      </c>
      <c r="Q109" s="65">
        <f>IF($C109="","",VLOOKUP($E109,'📊 SECCIONES'!$B$4:$S$9,8,FALSE()))</f>
        <v>25132</v>
      </c>
      <c r="R109" s="64">
        <f>IF($C109="","",VLOOKUP($E109,'📊 SECCIONES'!$B$4:$S$9,10,FALSE()))</f>
        <v>28.1</v>
      </c>
      <c r="S109" s="61">
        <f>IF('📇 INVENTARIO'!K110="","",'📇 INVENTARIO'!K110)</f>
        <v>3</v>
      </c>
      <c r="T109" s="66" t="str">
        <f t="shared" si="4"/>
        <v>Objetivo: alcanzar calificación C. Actual: Cal.G. SATE integral + cubierta + carpinterías triple + aerotermia + instalación fotovoltaica</v>
      </c>
      <c r="U109" s="59" t="str">
        <f t="shared" si="5"/>
        <v>—</v>
      </c>
      <c r="V109" s="67">
        <f>IF('📇 INVENTARIO'!L110="","",'📇 INVENTARIO'!L110)</f>
        <v>48.2</v>
      </c>
      <c r="W109" s="64">
        <f>IF($C109="","",V109*'⚙️ SUPUESTOS'!$C$8*'⚙️ SUPUESTOS'!$C$9)</f>
        <v>10.122</v>
      </c>
      <c r="X109" s="67">
        <f>IF('📇 INVENTARIO'!N110="","",'📇 INVENTARIO'!N110)</f>
        <v>1409</v>
      </c>
      <c r="Y109" s="67">
        <f>IF($C109="","",W109*X109*'⚙️ SUPUESTOS'!$C$7)</f>
        <v>12835.708199999999</v>
      </c>
      <c r="Z109" s="65">
        <f>IF($C109="","",W109*'⚙️ SUPUESTOS'!$C$10)</f>
        <v>13512.869999999999</v>
      </c>
      <c r="AA109" s="65">
        <f>IF($C109="","",Y109*('⚙️ SUPUESTOS'!$C$12*'⚙️ SUPUESTOS'!$C$11+(1-'⚙️ SUPUESTOS'!$C$12)*'⚙️ SUPUESTOS'!$C$13))</f>
        <v>875.3952992400001</v>
      </c>
      <c r="AB109" s="65">
        <f>IF($C109="","",IF(Y109&gt;0,ROUND(Y109*'⚙️ SUPUESTOS'!$C$12*'⚙️ SUPUESTOS'!$C$11,0),""))</f>
        <v>321</v>
      </c>
      <c r="AC109" s="65">
        <f>IF($C109="","",IF(Y109&gt;0,ROUND(Y109*(1-'⚙️ SUPUESTOS'!$C$12)*'⚙️ SUPUESTOS'!$C$13,0),""))</f>
        <v>555</v>
      </c>
      <c r="AD109" s="65">
        <f t="shared" si="6"/>
        <v>8372</v>
      </c>
      <c r="AE109" s="64">
        <f t="shared" si="7"/>
        <v>15.436306331244399</v>
      </c>
      <c r="AF109" s="59" t="str">
        <f>IF($C109="","",IF(AE109="","—",IF(AE109&lt;='⚙️ SUPUESTOS'!$C$32,"✔ Muy recomendable",IF(AE109&lt;='⚙️ SUPUESTOS'!$C$33,"✔ Recomendable","Valorar"))))</f>
        <v>✔ Recomendable</v>
      </c>
      <c r="AG109" s="68">
        <f>IF('📇 INVENTARIO'!O110="","",'📇 INVENTARIO'!O110)</f>
        <v>41.6496</v>
      </c>
      <c r="AH109" s="68">
        <f>IF('📇 INVENTARIO'!P110="","",'📇 INVENTARIO'!P110)</f>
        <v>-4.7070999999999996</v>
      </c>
    </row>
    <row r="110" spans="1:34" ht="45" customHeight="1">
      <c r="A110" s="69">
        <f>IF($C110="","",RANK(O110,$O$3:$O$265,0)+COUNTIF($O$3:O110,O110)-1)</f>
        <v>108</v>
      </c>
      <c r="B110" s="70" t="str">
        <f>IF($C110="","",IF(A110&lt;='⚙️ SUPUESTOS'!$C$29,"Fase 1",IF(A110&lt;='⚙️ SUPUESTOS'!$C$30,"Fase 2","Fase 3")))</f>
        <v>Fase 2</v>
      </c>
      <c r="C110" s="71" t="str">
        <f>IF('📇 INVENTARIO'!B111="","",'📇 INVENTARIO'!B111)</f>
        <v>C/ Cisne, 9</v>
      </c>
      <c r="D110" s="70" t="str">
        <f>IF('📇 INVENTARIO'!C111="","",'📇 INVENTARIO'!C111)</f>
        <v>7825702UM5172F</v>
      </c>
      <c r="E110" s="70" t="str">
        <f>IF('📇 INVENTARIO'!D111="","",'📇 INVENTARIO'!D111)</f>
        <v>4718606023</v>
      </c>
      <c r="F110" s="70" t="str">
        <f>IF('📇 INVENTARIO'!F111="","",'📇 INVENTARIO'!F111)</f>
        <v>E</v>
      </c>
      <c r="G110" s="72">
        <f>IF('📇 INVENTARIO'!G111="","",'📇 INVENTARIO'!G111)</f>
        <v>223</v>
      </c>
      <c r="H110" s="72">
        <f>IF('📇 INVENTARIO'!H111="","",'📇 INVENTARIO'!H111)</f>
        <v>47</v>
      </c>
      <c r="I110" s="72">
        <f>IF('📇 INVENTARIO'!I111="","",'📇 INVENTARIO'!I111)</f>
        <v>104.6</v>
      </c>
      <c r="J110" s="72">
        <f>IF('📇 INVENTARIO'!J111="","",'📇 INVENTARIO'!J111)</f>
        <v>1968</v>
      </c>
      <c r="K110" s="73">
        <f>IF($C110="","",(G110-'⚙️ SUPUESTOS'!$C$20)/('⚙️ SUPUESTOS'!$C$25-'⚙️ SUPUESTOS'!$C$20))</f>
        <v>0.13769363166953527</v>
      </c>
      <c r="L110" s="73">
        <f>IF($C110="","",VLOOKUP($E110,'📊 SECCIONES'!$B$4:$S$9,16,FALSE()))</f>
        <v>0.54128061278831963</v>
      </c>
      <c r="M110" s="73">
        <f>IF($C110="","",VLOOKUP($E110,'📊 SECCIONES'!$B$4:$S$9,17,FALSE()))</f>
        <v>0.59585492227979275</v>
      </c>
      <c r="N110" s="73">
        <f>IF($C110="","",VLOOKUP($E110,'📊 SECCIONES'!$B$4:$S$9,18,FALSE()))</f>
        <v>0.28636363636363632</v>
      </c>
      <c r="O110" s="74">
        <f>IF($C110="","",ROUND('⚙️ SUPUESTOS'!$C$21*K110+'⚙️ SUPUESTOS'!$C$22*L110+'⚙️ SUPUESTOS'!$C$23*M110+'⚙️ SUPUESTOS'!$C$24*N110,4))</f>
        <v>0.30399999999999999</v>
      </c>
      <c r="P110" s="75">
        <f>IF($C110="","",VLOOKUP($E110,'📊 SECCIONES'!$B$4:$S$9,7,FALSE()))</f>
        <v>39.409999999999997</v>
      </c>
      <c r="Q110" s="76">
        <f>IF($C110="","",VLOOKUP($E110,'📊 SECCIONES'!$B$4:$S$9,8,FALSE()))</f>
        <v>22486</v>
      </c>
      <c r="R110" s="75">
        <f>IF($C110="","",VLOOKUP($E110,'📊 SECCIONES'!$B$4:$S$9,10,FALSE()))</f>
        <v>16.899999999999999</v>
      </c>
      <c r="S110" s="72">
        <f>IF('📇 INVENTARIO'!K111="","",'📇 INVENTARIO'!K111)</f>
        <v>5</v>
      </c>
      <c r="T110" s="77" t="str">
        <f t="shared" si="4"/>
        <v>Objetivo: alcanzar calificación C. Actual: Cal.E. SATE fachada + carpinterías doble + instalación fotovoltaica</v>
      </c>
      <c r="U110" s="70" t="str">
        <f t="shared" si="5"/>
        <v>Valorar ascensor (verificar)</v>
      </c>
      <c r="V110" s="78">
        <f>IF('📇 INVENTARIO'!L111="","",'📇 INVENTARIO'!L111)</f>
        <v>455.2</v>
      </c>
      <c r="W110" s="75">
        <f>IF($C110="","",V110*'⚙️ SUPUESTOS'!$C$8*'⚙️ SUPUESTOS'!$C$9)</f>
        <v>95.591999999999999</v>
      </c>
      <c r="X110" s="78">
        <f>IF('📇 INVENTARIO'!N111="","",'📇 INVENTARIO'!N111)</f>
        <v>1583</v>
      </c>
      <c r="Y110" s="78">
        <f>IF($C110="","",W110*X110*'⚙️ SUPUESTOS'!$C$7)</f>
        <v>136189.92240000001</v>
      </c>
      <c r="Z110" s="76">
        <f>IF($C110="","",W110*'⚙️ SUPUESTOS'!$C$10)</f>
        <v>127615.31999999999</v>
      </c>
      <c r="AA110" s="76">
        <f>IF($C110="","",Y110*('⚙️ SUPUESTOS'!$C$12*'⚙️ SUPUESTOS'!$C$11+(1-'⚙️ SUPUESTOS'!$C$12)*'⚙️ SUPUESTOS'!$C$13))</f>
        <v>9288.152707680003</v>
      </c>
      <c r="AB110" s="76">
        <f>IF($C110="","",IF(Y110&gt;0,ROUND(Y110*'⚙️ SUPUESTOS'!$C$12*'⚙️ SUPUESTOS'!$C$11,0),""))</f>
        <v>3405</v>
      </c>
      <c r="AC110" s="76">
        <f>IF($C110="","",IF(Y110&gt;0,ROUND(Y110*(1-'⚙️ SUPUESTOS'!$C$12)*'⚙️ SUPUESTOS'!$C$13,0),""))</f>
        <v>5883</v>
      </c>
      <c r="AD110" s="76">
        <f t="shared" si="6"/>
        <v>104588</v>
      </c>
      <c r="AE110" s="75">
        <f t="shared" si="7"/>
        <v>13.739580303678682</v>
      </c>
      <c r="AF110" s="70" t="str">
        <f>IF($C110="","",IF(AE110="","—",IF(AE110&lt;='⚙️ SUPUESTOS'!$C$32,"✔ Muy recomendable",IF(AE110&lt;='⚙️ SUPUESTOS'!$C$33,"✔ Recomendable","Valorar"))))</f>
        <v>✔ Muy recomendable</v>
      </c>
      <c r="AG110" s="79">
        <f>IF('📇 INVENTARIO'!O111="","",'📇 INVENTARIO'!O111)</f>
        <v>41.650390000000002</v>
      </c>
      <c r="AH110" s="79">
        <f>IF('📇 INVENTARIO'!P111="","",'📇 INVENTARIO'!P111)</f>
        <v>-4.7088299999999998</v>
      </c>
    </row>
    <row r="111" spans="1:34" ht="45" customHeight="1">
      <c r="A111" s="69">
        <f>IF($C111="","",RANK(O111,$O$3:$O$265,0)+COUNTIF($O$3:O111,O111)-1)</f>
        <v>109</v>
      </c>
      <c r="B111" s="70" t="str">
        <f>IF($C111="","",IF(A111&lt;='⚙️ SUPUESTOS'!$C$29,"Fase 1",IF(A111&lt;='⚙️ SUPUESTOS'!$C$30,"Fase 2","Fase 3")))</f>
        <v>Fase 2</v>
      </c>
      <c r="C111" s="71" t="str">
        <f>IF('📇 INVENTARIO'!B113="","",'📇 INVENTARIO'!B113)</f>
        <v>C/ Pingüino, 1</v>
      </c>
      <c r="D111" s="70" t="str">
        <f>IF('📇 INVENTARIO'!C113="","",'📇 INVENTARIO'!C113)</f>
        <v>7926606UM5172F</v>
      </c>
      <c r="E111" s="70" t="str">
        <f>IF('📇 INVENTARIO'!D113="","",'📇 INVENTARIO'!D113)</f>
        <v>4718606024</v>
      </c>
      <c r="F111" s="70" t="str">
        <f>IF('📇 INVENTARIO'!F113="","",'📇 INVENTARIO'!F113)</f>
        <v>E</v>
      </c>
      <c r="G111" s="72">
        <f>IF('📇 INVENTARIO'!G113="","",'📇 INVENTARIO'!G113)</f>
        <v>333</v>
      </c>
      <c r="H111" s="72">
        <f>IF('📇 INVENTARIO'!H113="","",'📇 INVENTARIO'!H113)</f>
        <v>65</v>
      </c>
      <c r="I111" s="72">
        <f>IF('📇 INVENTARIO'!I113="","",'📇 INVENTARIO'!I113)</f>
        <v>147.5</v>
      </c>
      <c r="J111" s="72">
        <f>IF('📇 INVENTARIO'!J113="","",'📇 INVENTARIO'!J113)</f>
        <v>1967</v>
      </c>
      <c r="K111" s="73">
        <f>IF($C111="","",(G111-'⚙️ SUPUESTOS'!$C$20)/('⚙️ SUPUESTOS'!$C$25-'⚙️ SUPUESTOS'!$C$20))</f>
        <v>0.32702237521514632</v>
      </c>
      <c r="L111" s="73">
        <f>IF($C111="","",VLOOKUP($E111,'📊 SECCIONES'!$B$4:$S$9,16,FALSE()))</f>
        <v>0.13391192517993736</v>
      </c>
      <c r="M111" s="73">
        <f>IF($C111="","",VLOOKUP($E111,'📊 SECCIONES'!$B$4:$S$9,17,FALSE()))</f>
        <v>0.16476683937823833</v>
      </c>
      <c r="N111" s="73">
        <f>IF($C111="","",VLOOKUP($E111,'📊 SECCIONES'!$B$4:$S$9,18,FALSE()))</f>
        <v>0.79545454545454541</v>
      </c>
      <c r="O111" s="74">
        <f>IF($C111="","",ROUND('⚙️ SUPUESTOS'!$C$21*K111+'⚙️ SUPUESTOS'!$C$22*L111+'⚙️ SUPUESTOS'!$C$23*M111+'⚙️ SUPUESTOS'!$C$24*N111,4))</f>
        <v>0.30399999999999999</v>
      </c>
      <c r="P111" s="75">
        <f>IF($C111="","",VLOOKUP($E111,'📊 SECCIONES'!$B$4:$S$9,7,FALSE()))</f>
        <v>30.06</v>
      </c>
      <c r="Q111" s="76">
        <f>IF($C111="","",VLOOKUP($E111,'📊 SECCIONES'!$B$4:$S$9,8,FALSE()))</f>
        <v>25132</v>
      </c>
      <c r="R111" s="75">
        <f>IF($C111="","",VLOOKUP($E111,'📊 SECCIONES'!$B$4:$S$9,10,FALSE()))</f>
        <v>28.1</v>
      </c>
      <c r="S111" s="72">
        <f>IF('📇 INVENTARIO'!K113="","",'📇 INVENTARIO'!K113)</f>
        <v>6</v>
      </c>
      <c r="T111" s="77" t="str">
        <f t="shared" si="4"/>
        <v>Objetivo: alcanzar calificación C. Actual: Cal.E. SATE fachada + carpinterías doble + instalación fotovoltaica</v>
      </c>
      <c r="U111" s="70" t="str">
        <f t="shared" si="5"/>
        <v>Valorar ascensor (verificar)</v>
      </c>
      <c r="V111" s="78">
        <f>IF('📇 INVENTARIO'!L113="","",'📇 INVENTARIO'!L113)</f>
        <v>821.3</v>
      </c>
      <c r="W111" s="75">
        <f>IF($C111="","",V111*'⚙️ SUPUESTOS'!$C$8*'⚙️ SUPUESTOS'!$C$9)</f>
        <v>172.47299999999998</v>
      </c>
      <c r="X111" s="78">
        <f>IF('📇 INVENTARIO'!N113="","",'📇 INVENTARIO'!N113)</f>
        <v>1501</v>
      </c>
      <c r="Y111" s="78">
        <f>IF($C111="","",W111*X111*'⚙️ SUPUESTOS'!$C$7)</f>
        <v>232993.77569999997</v>
      </c>
      <c r="Z111" s="76">
        <f>IF($C111="","",W111*'⚙️ SUPUESTOS'!$C$10)</f>
        <v>230251.45499999999</v>
      </c>
      <c r="AA111" s="76">
        <f>IF($C111="","",Y111*('⚙️ SUPUESTOS'!$C$12*'⚙️ SUPUESTOS'!$C$11+(1-'⚙️ SUPUESTOS'!$C$12)*'⚙️ SUPUESTOS'!$C$13))</f>
        <v>15890.17550274</v>
      </c>
      <c r="AB111" s="76">
        <f>IF($C111="","",IF(Y111&gt;0,ROUND(Y111*'⚙️ SUPUESTOS'!$C$12*'⚙️ SUPUESTOS'!$C$11,0),""))</f>
        <v>5825</v>
      </c>
      <c r="AC111" s="76">
        <f>IF($C111="","",IF(Y111&gt;0,ROUND(Y111*(1-'⚙️ SUPUESTOS'!$C$12)*'⚙️ SUPUESTOS'!$C$13,0),""))</f>
        <v>10065</v>
      </c>
      <c r="AD111" s="65">
        <f t="shared" si="6"/>
        <v>167003</v>
      </c>
      <c r="AE111" s="64">
        <f t="shared" si="7"/>
        <v>14.490176962507237</v>
      </c>
      <c r="AF111" s="59" t="str">
        <f>IF($C111="","",IF(AE111="","—",IF(AE111&lt;='⚙️ SUPUESTOS'!$C$32,"✔ Muy recomendable",IF(AE111&lt;='⚙️ SUPUESTOS'!$C$33,"✔ Recomendable","Valorar"))))</f>
        <v>✔ Muy recomendable</v>
      </c>
      <c r="AG111" s="68">
        <f>IF('📇 INVENTARIO'!O112="","",'📇 INVENTARIO'!O112)</f>
        <v>41.648238999999997</v>
      </c>
      <c r="AH111" s="68">
        <f>IF('📇 INVENTARIO'!P112="","",'📇 INVENTARIO'!P112)</f>
        <v>-4.7101709999999999</v>
      </c>
    </row>
    <row r="112" spans="1:34" ht="45" customHeight="1">
      <c r="A112" s="58">
        <f>IF($C112="","",RANK(O112,$O$3:$O$265,0)+COUNTIF($O$3:O112,O112)-1)</f>
        <v>110</v>
      </c>
      <c r="B112" s="59" t="str">
        <f>IF($C112="","",IF(A112&lt;='⚙️ SUPUESTOS'!$C$29,"Fase 1",IF(A112&lt;='⚙️ SUPUESTOS'!$C$30,"Fase 2","Fase 3")))</f>
        <v>Fase 2</v>
      </c>
      <c r="C112" s="60" t="str">
        <f>IF('📇 INVENTARIO'!B112="","",'📇 INVENTARIO'!B112)</f>
        <v>C/ Perdiz, 4</v>
      </c>
      <c r="D112" s="59" t="str">
        <f>IF('📇 INVENTARIO'!C112="","",'📇 INVENTARIO'!C112)</f>
        <v>7723701UM5172D</v>
      </c>
      <c r="E112" s="59" t="str">
        <f>IF('📇 INVENTARIO'!D112="","",'📇 INVENTARIO'!D112)</f>
        <v>4718606027</v>
      </c>
      <c r="F112" s="59" t="str">
        <f>IF('📇 INVENTARIO'!F112="","",'📇 INVENTARIO'!F112)</f>
        <v>E</v>
      </c>
      <c r="G112" s="61">
        <f>IF('📇 INVENTARIO'!G112="","",'📇 INVENTARIO'!G112)</f>
        <v>283</v>
      </c>
      <c r="H112" s="61">
        <f>IF('📇 INVENTARIO'!H112="","",'📇 INVENTARIO'!H112)</f>
        <v>59.5</v>
      </c>
      <c r="I112" s="61">
        <f>IF('📇 INVENTARIO'!I112="","",'📇 INVENTARIO'!I112)</f>
        <v>141.9</v>
      </c>
      <c r="J112" s="61">
        <f>IF('📇 INVENTARIO'!J112="","",'📇 INVENTARIO'!J112)</f>
        <v>1963</v>
      </c>
      <c r="K112" s="62">
        <f>IF($C112="","",(G112-'⚙️ SUPUESTOS'!$C$20)/('⚙️ SUPUESTOS'!$C$25-'⚙️ SUPUESTOS'!$C$20))</f>
        <v>0.24096385542168675</v>
      </c>
      <c r="L112" s="62">
        <f>IF($C112="","",VLOOKUP($E112,'📊 SECCIONES'!$B$4:$S$9,16,FALSE()))</f>
        <v>0.19481959841367916</v>
      </c>
      <c r="M112" s="62">
        <f>IF($C112="","",VLOOKUP($E112,'📊 SECCIONES'!$B$4:$S$9,17,FALSE()))</f>
        <v>0.2663212435233161</v>
      </c>
      <c r="N112" s="62">
        <f>IF($C112="","",VLOOKUP($E112,'📊 SECCIONES'!$B$4:$S$9,18,FALSE()))</f>
        <v>1</v>
      </c>
      <c r="O112" s="63">
        <f>IF($C112="","",ROUND('⚙️ SUPUESTOS'!$C$21*K112+'⚙️ SUPUESTOS'!$C$22*L112+'⚙️ SUPUESTOS'!$C$23*M112+'⚙️ SUPUESTOS'!$C$24*N112,4))</f>
        <v>0.30270000000000002</v>
      </c>
      <c r="P112" s="64">
        <f>IF($C112="","",VLOOKUP($E112,'📊 SECCIONES'!$B$4:$S$9,7,FALSE()))</f>
        <v>24.5</v>
      </c>
      <c r="Q112" s="65">
        <f>IF($C112="","",VLOOKUP($E112,'📊 SECCIONES'!$B$4:$S$9,8,FALSE()))</f>
        <v>25206</v>
      </c>
      <c r="R112" s="64">
        <f>IF($C112="","",VLOOKUP($E112,'📊 SECCIONES'!$B$4:$S$9,10,FALSE()))</f>
        <v>32.6</v>
      </c>
      <c r="S112" s="61">
        <f>IF('📇 INVENTARIO'!K112="","",'📇 INVENTARIO'!K112)</f>
        <v>5</v>
      </c>
      <c r="T112" s="66" t="str">
        <f t="shared" si="4"/>
        <v>Objetivo: alcanzar calificación C. Actual: Cal.E. SATE fachada + carpinterías doble + instalación fotovoltaica</v>
      </c>
      <c r="U112" s="59" t="str">
        <f t="shared" si="5"/>
        <v>Valorar ascensor (verificar)</v>
      </c>
      <c r="V112" s="67">
        <f>IF('📇 INVENTARIO'!L112="","",'📇 INVENTARIO'!L112)</f>
        <v>157</v>
      </c>
      <c r="W112" s="64">
        <f>IF($C112="","",V112*'⚙️ SUPUESTOS'!$C$8*'⚙️ SUPUESTOS'!$C$9)</f>
        <v>32.97</v>
      </c>
      <c r="X112" s="67">
        <f>IF('📇 INVENTARIO'!N112="","",'📇 INVENTARIO'!N112)</f>
        <v>1464</v>
      </c>
      <c r="Y112" s="67">
        <f>IF($C112="","",W112*X112*'⚙️ SUPUESTOS'!$C$7)</f>
        <v>43441.272000000004</v>
      </c>
      <c r="Z112" s="65">
        <f>IF($C112="","",W112*'⚙️ SUPUESTOS'!$C$10)</f>
        <v>44014.95</v>
      </c>
      <c r="AA112" s="65">
        <f>IF($C112="","",Y112*('⚙️ SUPUESTOS'!$C$12*'⚙️ SUPUESTOS'!$C$11+(1-'⚙️ SUPUESTOS'!$C$12)*'⚙️ SUPUESTOS'!$C$13))</f>
        <v>2962.6947504000009</v>
      </c>
      <c r="AB112" s="65">
        <f>IF($C112="","",IF(Y112&gt;0,ROUND(Y112*'⚙️ SUPUESTOS'!$C$12*'⚙️ SUPUESTOS'!$C$11,0),""))</f>
        <v>1086</v>
      </c>
      <c r="AC112" s="65">
        <f>IF($C112="","",IF(Y112&gt;0,ROUND(Y112*(1-'⚙️ SUPUESTOS'!$C$12)*'⚙️ SUPUESTOS'!$C$13,0),""))</f>
        <v>1877</v>
      </c>
      <c r="AD112" s="76">
        <f t="shared" si="6"/>
        <v>30052</v>
      </c>
      <c r="AE112" s="75">
        <f t="shared" si="7"/>
        <v>14.856390451313766</v>
      </c>
      <c r="AF112" s="70" t="str">
        <f>IF($C112="","",IF(AE112="","—",IF(AE112&lt;='⚙️ SUPUESTOS'!$C$32,"✔ Muy recomendable",IF(AE112&lt;='⚙️ SUPUESTOS'!$C$33,"✔ Recomendable","Valorar"))))</f>
        <v>✔ Muy recomendable</v>
      </c>
      <c r="AG112" s="79">
        <f>IF('📇 INVENTARIO'!O113="","",'📇 INVENTARIO'!O113)</f>
        <v>41.650269999999999</v>
      </c>
      <c r="AH112" s="79">
        <f>IF('📇 INVENTARIO'!P113="","",'📇 INVENTARIO'!P113)</f>
        <v>-4.70845</v>
      </c>
    </row>
    <row r="113" spans="1:34" ht="45" customHeight="1">
      <c r="A113" s="69">
        <f>IF($C113="","",RANK(O113,$O$3:$O$265,0)+COUNTIF($O$3:O113,O113)-1)</f>
        <v>111</v>
      </c>
      <c r="B113" s="70" t="str">
        <f>IF($C113="","",IF(A113&lt;='⚙️ SUPUESTOS'!$C$29,"Fase 1",IF(A113&lt;='⚙️ SUPUESTOS'!$C$30,"Fase 2","Fase 3")))</f>
        <v>Fase 2</v>
      </c>
      <c r="C113" s="71" t="str">
        <f>IF('📇 INVENTARIO'!B117="","",'📇 INVENTARIO'!B117)</f>
        <v>C/ Villabáñez, 20</v>
      </c>
      <c r="D113" s="70" t="str">
        <f>IF('📇 INVENTARIO'!C117="","",'📇 INVENTARIO'!C117)</f>
        <v>7923001UM5172D</v>
      </c>
      <c r="E113" s="70" t="str">
        <f>IF('📇 INVENTARIO'!D117="","",'📇 INVENTARIO'!D117)</f>
        <v>4718606025</v>
      </c>
      <c r="F113" s="70" t="str">
        <f>IF('📇 INVENTARIO'!F117="","",'📇 INVENTARIO'!F117)</f>
        <v>G</v>
      </c>
      <c r="G113" s="72">
        <f>IF('📇 INVENTARIO'!G117="","",'📇 INVENTARIO'!G117)</f>
        <v>403</v>
      </c>
      <c r="H113" s="72">
        <f>IF('📇 INVENTARIO'!H117="","",'📇 INVENTARIO'!H117)</f>
        <v>93.5</v>
      </c>
      <c r="I113" s="72">
        <f>IF('📇 INVENTARIO'!I117="","",'📇 INVENTARIO'!I117)</f>
        <v>199.1</v>
      </c>
      <c r="J113" s="72">
        <f>IF('📇 INVENTARIO'!J117="","",'📇 INVENTARIO'!J117)</f>
        <v>1965</v>
      </c>
      <c r="K113" s="73">
        <f>IF($C113="","",(G113-'⚙️ SUPUESTOS'!$C$20)/('⚙️ SUPUESTOS'!$C$25-'⚙️ SUPUESTOS'!$C$20))</f>
        <v>0.44750430292598969</v>
      </c>
      <c r="L113" s="73">
        <f>IF($C113="","",VLOOKUP($E113,'📊 SECCIONES'!$B$4:$S$9,16,FALSE()))</f>
        <v>0</v>
      </c>
      <c r="M113" s="73">
        <f>IF($C113="","",VLOOKUP($E113,'📊 SECCIONES'!$B$4:$S$9,17,FALSE()))</f>
        <v>0</v>
      </c>
      <c r="N113" s="73">
        <f>IF($C113="","",VLOOKUP($E113,'📊 SECCIONES'!$B$4:$S$9,18,FALSE()))</f>
        <v>0.57727272727272727</v>
      </c>
      <c r="O113" s="74">
        <f>IF($C113="","",ROUND('⚙️ SUPUESTOS'!$C$21*K113+'⚙️ SUPUESTOS'!$C$22*L113+'⚙️ SUPUESTOS'!$C$23*M113+'⚙️ SUPUESTOS'!$C$24*N113,4))</f>
        <v>0.29809999999999998</v>
      </c>
      <c r="P113" s="75">
        <f>IF($C113="","",VLOOKUP($E113,'📊 SECCIONES'!$B$4:$S$9,7,FALSE()))</f>
        <v>20.3</v>
      </c>
      <c r="Q113" s="76">
        <f>IF($C113="","",VLOOKUP($E113,'📊 SECCIONES'!$B$4:$S$9,8,FALSE()))</f>
        <v>26404</v>
      </c>
      <c r="R113" s="75">
        <f>IF($C113="","",VLOOKUP($E113,'📊 SECCIONES'!$B$4:$S$9,10,FALSE()))</f>
        <v>23.3</v>
      </c>
      <c r="S113" s="72">
        <f>IF('📇 INVENTARIO'!K117="","",'📇 INVENTARIO'!K117)</f>
        <v>3</v>
      </c>
      <c r="T113" s="77" t="str">
        <f t="shared" si="4"/>
        <v>Objetivo: alcanzar calificación C. Actual: Cal.G. SATE integral + cubierta + carpinterías triple + aerotermia + instalación fotovoltaica</v>
      </c>
      <c r="U113" s="70" t="str">
        <f t="shared" si="5"/>
        <v>—</v>
      </c>
      <c r="V113" s="78">
        <f>IF('📇 INVENTARIO'!L117="","",'📇 INVENTARIO'!L117)</f>
        <v>117.1</v>
      </c>
      <c r="W113" s="75">
        <f>IF($C113="","",V113*'⚙️ SUPUESTOS'!$C$8*'⚙️ SUPUESTOS'!$C$9)</f>
        <v>24.590999999999998</v>
      </c>
      <c r="X113" s="78">
        <f>IF('📇 INVENTARIO'!N117="","",'📇 INVENTARIO'!N117)</f>
        <v>1441</v>
      </c>
      <c r="Y113" s="78">
        <f>IF($C113="","",W113*X113*'⚙️ SUPUESTOS'!$C$7)</f>
        <v>31892.067899999995</v>
      </c>
      <c r="Z113" s="76">
        <f>IF($C113="","",W113*'⚙️ SUPUESTOS'!$C$10)</f>
        <v>32828.984999999993</v>
      </c>
      <c r="AA113" s="76">
        <f>IF($C113="","",Y113*('⚙️ SUPUESTOS'!$C$12*'⚙️ SUPUESTOS'!$C$11+(1-'⚙️ SUPUESTOS'!$C$12)*'⚙️ SUPUESTOS'!$C$13))</f>
        <v>2175.0390307799998</v>
      </c>
      <c r="AB113" s="76">
        <f>IF($C113="","",IF(Y113&gt;0,ROUND(Y113*'⚙️ SUPUESTOS'!$C$12*'⚙️ SUPUESTOS'!$C$11,0),""))</f>
        <v>797</v>
      </c>
      <c r="AC113" s="76">
        <f>IF($C113="","",IF(Y113&gt;0,ROUND(Y113*(1-'⚙️ SUPUESTOS'!$C$12)*'⚙️ SUPUESTOS'!$C$13,0),""))</f>
        <v>1378</v>
      </c>
      <c r="AD113" s="65">
        <f t="shared" si="6"/>
        <v>21547</v>
      </c>
      <c r="AE113" s="64">
        <f t="shared" si="7"/>
        <v>15.09351535095306</v>
      </c>
      <c r="AF113" s="59" t="str">
        <f>IF($C113="","",IF(AE113="","—",IF(AE113&lt;='⚙️ SUPUESTOS'!$C$32,"✔ Muy recomendable",IF(AE113&lt;='⚙️ SUPUESTOS'!$C$33,"✔ Recomendable","Valorar"))))</f>
        <v>✔ Recomendable</v>
      </c>
      <c r="AG113" s="68">
        <f>IF('📇 INVENTARIO'!O114="","",'📇 INVENTARIO'!O114)</f>
        <v>41.64817</v>
      </c>
      <c r="AH113" s="68">
        <f>IF('📇 INVENTARIO'!P114="","",'📇 INVENTARIO'!P114)</f>
        <v>-4.7113399999999999</v>
      </c>
    </row>
    <row r="114" spans="1:34" ht="45" customHeight="1">
      <c r="A114" s="58">
        <f>IF($C114="","",RANK(O114,$O$3:$O$265,0)+COUNTIF($O$3:O114,O114)-1)</f>
        <v>112</v>
      </c>
      <c r="B114" s="59" t="str">
        <f>IF($C114="","",IF(A114&lt;='⚙️ SUPUESTOS'!$C$29,"Fase 1",IF(A114&lt;='⚙️ SUPUESTOS'!$C$30,"Fase 2","Fase 3")))</f>
        <v>Fase 2</v>
      </c>
      <c r="C114" s="60" t="str">
        <f>IF('📇 INVENTARIO'!B114="","",'📇 INVENTARIO'!B114)</f>
        <v>C/ Pavo Real, 8</v>
      </c>
      <c r="D114" s="59" t="str">
        <f>IF('📇 INVENTARIO'!C114="","",'📇 INVENTARIO'!C114)</f>
        <v>7623002UM5172D</v>
      </c>
      <c r="E114" s="59" t="str">
        <f>IF('📇 INVENTARIO'!D114="","",'📇 INVENTARIO'!D114)</f>
        <v>4718606027</v>
      </c>
      <c r="F114" s="59" t="str">
        <f>IF('📇 INVENTARIO'!F114="","",'📇 INVENTARIO'!F114)</f>
        <v>E</v>
      </c>
      <c r="G114" s="61">
        <f>IF('📇 INVENTARIO'!G114="","",'📇 INVENTARIO'!G114)</f>
        <v>277</v>
      </c>
      <c r="H114" s="61">
        <f>IF('📇 INVENTARIO'!H114="","",'📇 INVENTARIO'!H114)</f>
        <v>59</v>
      </c>
      <c r="I114" s="61">
        <f>IF('📇 INVENTARIO'!I114="","",'📇 INVENTARIO'!I114)</f>
        <v>123</v>
      </c>
      <c r="J114" s="61">
        <f>IF('📇 INVENTARIO'!J114="","",'📇 INVENTARIO'!J114)</f>
        <v>1969</v>
      </c>
      <c r="K114" s="62">
        <f>IF($C114="","",(G114-'⚙️ SUPUESTOS'!$C$20)/('⚙️ SUPUESTOS'!$C$25-'⚙️ SUPUESTOS'!$C$20))</f>
        <v>0.23063683304647159</v>
      </c>
      <c r="L114" s="62">
        <f>IF($C114="","",VLOOKUP($E114,'📊 SECCIONES'!$B$4:$S$9,16,FALSE()))</f>
        <v>0.19481959841367916</v>
      </c>
      <c r="M114" s="62">
        <f>IF($C114="","",VLOOKUP($E114,'📊 SECCIONES'!$B$4:$S$9,17,FALSE()))</f>
        <v>0.2663212435233161</v>
      </c>
      <c r="N114" s="62">
        <f>IF($C114="","",VLOOKUP($E114,'📊 SECCIONES'!$B$4:$S$9,18,FALSE()))</f>
        <v>1</v>
      </c>
      <c r="O114" s="63">
        <f>IF($C114="","",ROUND('⚙️ SUPUESTOS'!$C$21*K114+'⚙️ SUPUESTOS'!$C$22*L114+'⚙️ SUPUESTOS'!$C$23*M114+'⚙️ SUPUESTOS'!$C$24*N114,4))</f>
        <v>0.29699999999999999</v>
      </c>
      <c r="P114" s="64">
        <f>IF($C114="","",VLOOKUP($E114,'📊 SECCIONES'!$B$4:$S$9,7,FALSE()))</f>
        <v>24.5</v>
      </c>
      <c r="Q114" s="65">
        <f>IF($C114="","",VLOOKUP($E114,'📊 SECCIONES'!$B$4:$S$9,8,FALSE()))</f>
        <v>25206</v>
      </c>
      <c r="R114" s="64">
        <f>IF($C114="","",VLOOKUP($E114,'📊 SECCIONES'!$B$4:$S$9,10,FALSE()))</f>
        <v>32.6</v>
      </c>
      <c r="S114" s="61">
        <f>IF('📇 INVENTARIO'!K114="","",'📇 INVENTARIO'!K114)</f>
        <v>6</v>
      </c>
      <c r="T114" s="66" t="str">
        <f t="shared" si="4"/>
        <v>Objetivo: alcanzar calificación C. Actual: Cal.E. SATE fachada + carpinterías doble + instalación fotovoltaica</v>
      </c>
      <c r="U114" s="59" t="str">
        <f t="shared" si="5"/>
        <v>Valorar ascensor (verificar)</v>
      </c>
      <c r="V114" s="67">
        <f>IF('📇 INVENTARIO'!L114="","",'📇 INVENTARIO'!L114)</f>
        <v>298.8</v>
      </c>
      <c r="W114" s="64">
        <f>IF($C114="","",V114*'⚙️ SUPUESTOS'!$C$8*'⚙️ SUPUESTOS'!$C$9)</f>
        <v>62.747999999999998</v>
      </c>
      <c r="X114" s="67">
        <f>IF('📇 INVENTARIO'!N114="","",'📇 INVENTARIO'!N114)</f>
        <v>1470</v>
      </c>
      <c r="Y114" s="67">
        <f>IF($C114="","",W114*X114*'⚙️ SUPUESTOS'!$C$7)</f>
        <v>83015.604000000007</v>
      </c>
      <c r="Z114" s="65">
        <f>IF($C114="","",W114*'⚙️ SUPUESTOS'!$C$10)</f>
        <v>83768.58</v>
      </c>
      <c r="AA114" s="65">
        <f>IF($C114="","",Y114*('⚙️ SUPUESTOS'!$C$12*'⚙️ SUPUESTOS'!$C$11+(1-'⚙️ SUPUESTOS'!$C$12)*'⚙️ SUPUESTOS'!$C$13))</f>
        <v>5661.6641928000017</v>
      </c>
      <c r="AB114" s="65">
        <f>IF($C114="","",IF(Y114&gt;0,ROUND(Y114*'⚙️ SUPUESTOS'!$C$12*'⚙️ SUPUESTOS'!$C$11,0),""))</f>
        <v>2075</v>
      </c>
      <c r="AC114" s="65">
        <f>IF($C114="","",IF(Y114&gt;0,ROUND(Y114*(1-'⚙️ SUPUESTOS'!$C$12)*'⚙️ SUPUESTOS'!$C$13,0),""))</f>
        <v>3586</v>
      </c>
      <c r="AD114" s="76">
        <f t="shared" si="6"/>
        <v>57773</v>
      </c>
      <c r="AE114" s="75">
        <f t="shared" si="7"/>
        <v>14.795752122941058</v>
      </c>
      <c r="AF114" s="70" t="str">
        <f>IF($C114="","",IF(AE114="","—",IF(AE114&lt;='⚙️ SUPUESTOS'!$C$32,"✔ Muy recomendable",IF(AE114&lt;='⚙️ SUPUESTOS'!$C$33,"✔ Recomendable","Valorar"))))</f>
        <v>✔ Muy recomendable</v>
      </c>
      <c r="AG114" s="79">
        <f>IF('📇 INVENTARIO'!O115="","",'📇 INVENTARIO'!O115)</f>
        <v>41.647930000000002</v>
      </c>
      <c r="AH114" s="79">
        <f>IF('📇 INVENTARIO'!P115="","",'📇 INVENTARIO'!P115)</f>
        <v>-4.7107999999999999</v>
      </c>
    </row>
    <row r="115" spans="1:34" ht="45" customHeight="1">
      <c r="A115" s="69">
        <f>IF($C115="","",RANK(O115,$O$3:$O$265,0)+COUNTIF($O$3:O115,O115)-1)</f>
        <v>113</v>
      </c>
      <c r="B115" s="70" t="str">
        <f>IF($C115="","",IF(A115&lt;='⚙️ SUPUESTOS'!$C$29,"Fase 1",IF(A115&lt;='⚙️ SUPUESTOS'!$C$30,"Fase 2","Fase 3")))</f>
        <v>Fase 2</v>
      </c>
      <c r="C115" s="71" t="str">
        <f>IF('📇 INVENTARIO'!B115="","",'📇 INVENTARIO'!B115)</f>
        <v>C/ Zorzal, 4</v>
      </c>
      <c r="D115" s="70" t="str">
        <f>IF('📇 INVENTARIO'!C115="","",'📇 INVENTARIO'!C115)</f>
        <v>7723704UM5172D</v>
      </c>
      <c r="E115" s="70" t="str">
        <f>IF('📇 INVENTARIO'!D115="","",'📇 INVENTARIO'!D115)</f>
        <v>4718606027</v>
      </c>
      <c r="F115" s="70" t="str">
        <f>IF('📇 INVENTARIO'!F115="","",'📇 INVENTARIO'!F115)</f>
        <v>E</v>
      </c>
      <c r="G115" s="72">
        <f>IF('📇 INVENTARIO'!G115="","",'📇 INVENTARIO'!G115)</f>
        <v>276</v>
      </c>
      <c r="H115" s="72">
        <f>IF('📇 INVENTARIO'!H115="","",'📇 INVENTARIO'!H115)</f>
        <v>58</v>
      </c>
      <c r="I115" s="72">
        <f>IF('📇 INVENTARIO'!I115="","",'📇 INVENTARIO'!I115)</f>
        <v>112.8</v>
      </c>
      <c r="J115" s="72">
        <f>IF('📇 INVENTARIO'!J115="","",'📇 INVENTARIO'!J115)</f>
        <v>1970</v>
      </c>
      <c r="K115" s="73">
        <f>IF($C115="","",(G115-'⚙️ SUPUESTOS'!$C$20)/('⚙️ SUPUESTOS'!$C$25-'⚙️ SUPUESTOS'!$C$20))</f>
        <v>0.2289156626506024</v>
      </c>
      <c r="L115" s="73">
        <f>IF($C115="","",VLOOKUP($E115,'📊 SECCIONES'!$B$4:$S$9,16,FALSE()))</f>
        <v>0.19481959841367916</v>
      </c>
      <c r="M115" s="73">
        <f>IF($C115="","",VLOOKUP($E115,'📊 SECCIONES'!$B$4:$S$9,17,FALSE()))</f>
        <v>0.2663212435233161</v>
      </c>
      <c r="N115" s="73">
        <f>IF($C115="","",VLOOKUP($E115,'📊 SECCIONES'!$B$4:$S$9,18,FALSE()))</f>
        <v>1</v>
      </c>
      <c r="O115" s="74">
        <f>IF($C115="","",ROUND('⚙️ SUPUESTOS'!$C$21*K115+'⚙️ SUPUESTOS'!$C$22*L115+'⚙️ SUPUESTOS'!$C$23*M115+'⚙️ SUPUESTOS'!$C$24*N115,4))</f>
        <v>0.29599999999999999</v>
      </c>
      <c r="P115" s="75">
        <f>IF($C115="","",VLOOKUP($E115,'📊 SECCIONES'!$B$4:$S$9,7,FALSE()))</f>
        <v>24.5</v>
      </c>
      <c r="Q115" s="76">
        <f>IF($C115="","",VLOOKUP($E115,'📊 SECCIONES'!$B$4:$S$9,8,FALSE()))</f>
        <v>25206</v>
      </c>
      <c r="R115" s="75">
        <f>IF($C115="","",VLOOKUP($E115,'📊 SECCIONES'!$B$4:$S$9,10,FALSE()))</f>
        <v>32.6</v>
      </c>
      <c r="S115" s="72">
        <f>IF('📇 INVENTARIO'!K115="","",'📇 INVENTARIO'!K115)</f>
        <v>6</v>
      </c>
      <c r="T115" s="77" t="str">
        <f t="shared" si="4"/>
        <v>Objetivo: alcanzar calificación C. Actual: Cal.E. SATE fachada + carpinterías doble + instalación fotovoltaica</v>
      </c>
      <c r="U115" s="70" t="str">
        <f t="shared" si="5"/>
        <v>Valorar ascensor (verificar)</v>
      </c>
      <c r="V115" s="78">
        <f>IF('📇 INVENTARIO'!L115="","",'📇 INVENTARIO'!L115)</f>
        <v>824.9</v>
      </c>
      <c r="W115" s="75">
        <f>IF($C115="","",V115*'⚙️ SUPUESTOS'!$C$8*'⚙️ SUPUESTOS'!$C$9)</f>
        <v>173.22899999999998</v>
      </c>
      <c r="X115" s="78">
        <f>IF('📇 INVENTARIO'!N115="","",'📇 INVENTARIO'!N115)</f>
        <v>1305</v>
      </c>
      <c r="Y115" s="78">
        <f>IF($C115="","",W115*X115*'⚙️ SUPUESTOS'!$C$7)</f>
        <v>203457.46049999999</v>
      </c>
      <c r="Z115" s="76">
        <f>IF($C115="","",W115*'⚙️ SUPUESTOS'!$C$10)</f>
        <v>231260.71499999997</v>
      </c>
      <c r="AA115" s="76">
        <f>IF($C115="","",Y115*('⚙️ SUPUESTOS'!$C$12*'⚙️ SUPUESTOS'!$C$11+(1-'⚙️ SUPUESTOS'!$C$12)*'⚙️ SUPUESTOS'!$C$13))</f>
        <v>13875.798806100001</v>
      </c>
      <c r="AB115" s="76">
        <f>IF($C115="","",IF(Y115&gt;0,ROUND(Y115*'⚙️ SUPUESTOS'!$C$12*'⚙️ SUPUESTOS'!$C$11,0),""))</f>
        <v>5086</v>
      </c>
      <c r="AC115" s="76">
        <f>IF($C115="","",IF(Y115&gt;0,ROUND(Y115*(1-'⚙️ SUPUESTOS'!$C$12)*'⚙️ SUPUESTOS'!$C$13,0),""))</f>
        <v>8789</v>
      </c>
      <c r="AD115" s="65">
        <f t="shared" si="6"/>
        <v>115634</v>
      </c>
      <c r="AE115" s="64">
        <f t="shared" si="7"/>
        <v>16.666479402853149</v>
      </c>
      <c r="AF115" s="59" t="str">
        <f>IF($C115="","",IF(AE115="","—",IF(AE115&lt;='⚙️ SUPUESTOS'!$C$32,"✔ Muy recomendable",IF(AE115&lt;='⚙️ SUPUESTOS'!$C$33,"✔ Recomendable","Valorar"))))</f>
        <v>Valorar</v>
      </c>
      <c r="AG115" s="68">
        <f>IF('📇 INVENTARIO'!O116="","",'📇 INVENTARIO'!O116)</f>
        <v>41.647530000000003</v>
      </c>
      <c r="AH115" s="68">
        <f>IF('📇 INVENTARIO'!P116="","",'📇 INVENTARIO'!P116)</f>
        <v>-4.7101509999999998</v>
      </c>
    </row>
    <row r="116" spans="1:34" ht="45" customHeight="1">
      <c r="A116" s="58">
        <f>IF($C116="","",RANK(O116,$O$3:$O$265,0)+COUNTIF($O$3:O116,O116)-1)</f>
        <v>114</v>
      </c>
      <c r="B116" s="59" t="str">
        <f>IF($C116="","",IF(A116&lt;='⚙️ SUPUESTOS'!$C$29,"Fase 1",IF(A116&lt;='⚙️ SUPUESTOS'!$C$30,"Fase 2","Fase 3")))</f>
        <v>Fase 2</v>
      </c>
      <c r="C116" s="60" t="str">
        <f>IF('📇 INVENTARIO'!B116="","",'📇 INVENTARIO'!B116)</f>
        <v>C/ Águila, 4</v>
      </c>
      <c r="D116" s="59" t="str">
        <f>IF('📇 INVENTARIO'!C116="","",'📇 INVENTARIO'!C116)</f>
        <v>7723410UM5172D</v>
      </c>
      <c r="E116" s="59" t="str">
        <f>IF('📇 INVENTARIO'!D116="","",'📇 INVENTARIO'!D116)</f>
        <v>4718606028</v>
      </c>
      <c r="F116" s="59" t="str">
        <f>IF('📇 INVENTARIO'!F116="","",'📇 INVENTARIO'!F116)</f>
        <v>E</v>
      </c>
      <c r="G116" s="61">
        <f>IF('📇 INVENTARIO'!G116="","",'📇 INVENTARIO'!G116)</f>
        <v>277</v>
      </c>
      <c r="H116" s="61">
        <f>IF('📇 INVENTARIO'!H116="","",'📇 INVENTARIO'!H116)</f>
        <v>59</v>
      </c>
      <c r="I116" s="61">
        <f>IF('📇 INVENTARIO'!I116="","",'📇 INVENTARIO'!I116)</f>
        <v>149.69999999999999</v>
      </c>
      <c r="J116" s="61">
        <f>IF('📇 INVENTARIO'!J116="","",'📇 INVENTARIO'!J116)</f>
        <v>1967</v>
      </c>
      <c r="K116" s="62">
        <f>IF($C116="","",(G116-'⚙️ SUPUESTOS'!$C$20)/('⚙️ SUPUESTOS'!$C$25-'⚙️ SUPUESTOS'!$C$20))</f>
        <v>0.23063683304647159</v>
      </c>
      <c r="L116" s="62">
        <f>IF($C116="","",VLOOKUP($E116,'📊 SECCIONES'!$B$4:$S$9,16,FALSE()))</f>
        <v>0.24395028956990591</v>
      </c>
      <c r="M116" s="62">
        <f>IF($C116="","",VLOOKUP($E116,'📊 SECCIONES'!$B$4:$S$9,17,FALSE()))</f>
        <v>0.34507772020725386</v>
      </c>
      <c r="N116" s="62">
        <f>IF($C116="","",VLOOKUP($E116,'📊 SECCIONES'!$B$4:$S$9,18,FALSE()))</f>
        <v>0.70909090909090911</v>
      </c>
      <c r="O116" s="63">
        <f>IF($C116="","",ROUND('⚙️ SUPUESTOS'!$C$21*K116+'⚙️ SUPUESTOS'!$C$22*L116+'⚙️ SUPUESTOS'!$C$23*M116+'⚙️ SUPUESTOS'!$C$24*N116,4))</f>
        <v>0.29260000000000003</v>
      </c>
      <c r="P116" s="64">
        <f>IF($C116="","",VLOOKUP($E116,'📊 SECCIONES'!$B$4:$S$9,7,FALSE()))</f>
        <v>29.81</v>
      </c>
      <c r="Q116" s="65">
        <f>IF($C116="","",VLOOKUP($E116,'📊 SECCIONES'!$B$4:$S$9,8,FALSE()))</f>
        <v>23665</v>
      </c>
      <c r="R116" s="64">
        <f>IF($C116="","",VLOOKUP($E116,'📊 SECCIONES'!$B$4:$S$9,10,FALSE()))</f>
        <v>26.2</v>
      </c>
      <c r="S116" s="61">
        <f>IF('📇 INVENTARIO'!K116="","",'📇 INVENTARIO'!K116)</f>
        <v>5</v>
      </c>
      <c r="T116" s="66" t="str">
        <f t="shared" si="4"/>
        <v>Objetivo: alcanzar calificación C. Actual: Cal.E. SATE fachada + carpinterías doble + instalación fotovoltaica</v>
      </c>
      <c r="U116" s="59" t="str">
        <f t="shared" si="5"/>
        <v>Valorar ascensor (verificar)</v>
      </c>
      <c r="V116" s="67">
        <f>IF('📇 INVENTARIO'!L116="","",'📇 INVENTARIO'!L116)</f>
        <v>469.5</v>
      </c>
      <c r="W116" s="64">
        <f>IF($C116="","",V116*'⚙️ SUPUESTOS'!$C$8*'⚙️ SUPUESTOS'!$C$9)</f>
        <v>98.594999999999999</v>
      </c>
      <c r="X116" s="67">
        <f>IF('📇 INVENTARIO'!N116="","",'📇 INVENTARIO'!N116)</f>
        <v>1248</v>
      </c>
      <c r="Y116" s="67">
        <f>IF($C116="","",W116*X116*'⚙️ SUPUESTOS'!$C$7)</f>
        <v>110741.90399999999</v>
      </c>
      <c r="Z116" s="65">
        <f>IF($C116="","",W116*'⚙️ SUPUESTOS'!$C$10)</f>
        <v>131624.32500000001</v>
      </c>
      <c r="AA116" s="65">
        <f>IF($C116="","",Y116*('⚙️ SUPUESTOS'!$C$12*'⚙️ SUPUESTOS'!$C$11+(1-'⚙️ SUPUESTOS'!$C$12)*'⚙️ SUPUESTOS'!$C$13))</f>
        <v>7552.5978528000005</v>
      </c>
      <c r="AB116" s="65">
        <f>IF($C116="","",IF(Y116&gt;0,ROUND(Y116*'⚙️ SUPUESTOS'!$C$12*'⚙️ SUPUESTOS'!$C$11,0),""))</f>
        <v>2769</v>
      </c>
      <c r="AC116" s="65">
        <f>IF($C116="","",IF(Y116&gt;0,ROUND(Y116*(1-'⚙️ SUPUESTOS'!$C$12)*'⚙️ SUPUESTOS'!$C$13,0),""))</f>
        <v>4784</v>
      </c>
      <c r="AD116" s="76">
        <f t="shared" si="6"/>
        <v>57191</v>
      </c>
      <c r="AE116" s="75">
        <f t="shared" si="7"/>
        <v>17.42768879865654</v>
      </c>
      <c r="AF116" s="70" t="str">
        <f>IF($C116="","",IF(AE116="","—",IF(AE116&lt;='⚙️ SUPUESTOS'!$C$32,"✔ Muy recomendable",IF(AE116&lt;='⚙️ SUPUESTOS'!$C$33,"✔ Recomendable","Valorar"))))</f>
        <v>Valorar</v>
      </c>
      <c r="AG116" s="79">
        <f>IF('📇 INVENTARIO'!O117="","",'📇 INVENTARIO'!O117)</f>
        <v>41.648719999999997</v>
      </c>
      <c r="AH116" s="79">
        <f>IF('📇 INVENTARIO'!P117="","",'📇 INVENTARIO'!P117)</f>
        <v>-4.7080500000000001</v>
      </c>
    </row>
    <row r="117" spans="1:34" ht="45" customHeight="1">
      <c r="A117" s="58">
        <f>IF($C117="","",RANK(O117,$O$3:$O$265,0)+COUNTIF($O$3:O117,O117)-1)</f>
        <v>115</v>
      </c>
      <c r="B117" s="59" t="str">
        <f>IF($C117="","",IF(A117&lt;='⚙️ SUPUESTOS'!$C$29,"Fase 1",IF(A117&lt;='⚙️ SUPUESTOS'!$C$30,"Fase 2","Fase 3")))</f>
        <v>Fase 2</v>
      </c>
      <c r="C117" s="60" t="str">
        <f>IF('📇 INVENTARIO'!B118="","",'📇 INVENTARIO'!B118)</f>
        <v>C/ Zorzal, 2</v>
      </c>
      <c r="D117" s="59" t="str">
        <f>IF('📇 INVENTARIO'!C118="","",'📇 INVENTARIO'!C118)</f>
        <v>7723704UM5172D</v>
      </c>
      <c r="E117" s="59" t="str">
        <f>IF('📇 INVENTARIO'!D118="","",'📇 INVENTARIO'!D118)</f>
        <v>4718606027</v>
      </c>
      <c r="F117" s="59" t="str">
        <f>IF('📇 INVENTARIO'!F118="","",'📇 INVENTARIO'!F118)</f>
        <v>E</v>
      </c>
      <c r="G117" s="61">
        <f>IF('📇 INVENTARIO'!G118="","",'📇 INVENTARIO'!G118)</f>
        <v>270</v>
      </c>
      <c r="H117" s="61">
        <f>IF('📇 INVENTARIO'!H118="","",'📇 INVENTARIO'!H118)</f>
        <v>57</v>
      </c>
      <c r="I117" s="61">
        <f>IF('📇 INVENTARIO'!I118="","",'📇 INVENTARIO'!I118)</f>
        <v>128.80000000000001</v>
      </c>
      <c r="J117" s="61">
        <f>IF('📇 INVENTARIO'!J118="","",'📇 INVENTARIO'!J118)</f>
        <v>1970</v>
      </c>
      <c r="K117" s="62">
        <f>IF($C117="","",(G117-'⚙️ SUPUESTOS'!$C$20)/('⚙️ SUPUESTOS'!$C$25-'⚙️ SUPUESTOS'!$C$20))</f>
        <v>0.21858864027538727</v>
      </c>
      <c r="L117" s="62">
        <f>IF($C117="","",VLOOKUP($E117,'📊 SECCIONES'!$B$4:$S$9,16,FALSE()))</f>
        <v>0.19481959841367916</v>
      </c>
      <c r="M117" s="62">
        <f>IF($C117="","",VLOOKUP($E117,'📊 SECCIONES'!$B$4:$S$9,17,FALSE()))</f>
        <v>0.2663212435233161</v>
      </c>
      <c r="N117" s="62">
        <f>IF($C117="","",VLOOKUP($E117,'📊 SECCIONES'!$B$4:$S$9,18,FALSE()))</f>
        <v>1</v>
      </c>
      <c r="O117" s="63">
        <f>IF($C117="","",ROUND('⚙️ SUPUESTOS'!$C$21*K117+'⚙️ SUPUESTOS'!$C$22*L117+'⚙️ SUPUESTOS'!$C$23*M117+'⚙️ SUPUESTOS'!$C$24*N117,4))</f>
        <v>0.29039999999999999</v>
      </c>
      <c r="P117" s="64">
        <f>IF($C117="","",VLOOKUP($E117,'📊 SECCIONES'!$B$4:$S$9,7,FALSE()))</f>
        <v>24.5</v>
      </c>
      <c r="Q117" s="65">
        <f>IF($C117="","",VLOOKUP($E117,'📊 SECCIONES'!$B$4:$S$9,8,FALSE()))</f>
        <v>25206</v>
      </c>
      <c r="R117" s="64">
        <f>IF($C117="","",VLOOKUP($E117,'📊 SECCIONES'!$B$4:$S$9,10,FALSE()))</f>
        <v>32.6</v>
      </c>
      <c r="S117" s="61">
        <f>IF('📇 INVENTARIO'!K118="","",'📇 INVENTARIO'!K118)</f>
        <v>6</v>
      </c>
      <c r="T117" s="66" t="str">
        <f t="shared" si="4"/>
        <v>Objetivo: alcanzar calificación C. Actual: Cal.E. SATE fachada + carpinterías doble + instalación fotovoltaica</v>
      </c>
      <c r="U117" s="59" t="str">
        <f t="shared" si="5"/>
        <v>Valorar ascensor (verificar)</v>
      </c>
      <c r="V117" s="67">
        <f>IF('📇 INVENTARIO'!L118="","",'📇 INVENTARIO'!L118)</f>
        <v>824.9</v>
      </c>
      <c r="W117" s="64">
        <f>IF($C117="","",V117*'⚙️ SUPUESTOS'!$C$8*'⚙️ SUPUESTOS'!$C$9)</f>
        <v>173.22899999999998</v>
      </c>
      <c r="X117" s="67">
        <f>IF('📇 INVENTARIO'!N118="","",'📇 INVENTARIO'!N118)</f>
        <v>1305</v>
      </c>
      <c r="Y117" s="67">
        <f>IF($C117="","",W117*X117*'⚙️ SUPUESTOS'!$C$7)</f>
        <v>203457.46049999999</v>
      </c>
      <c r="Z117" s="65">
        <f>IF($C117="","",W117*'⚙️ SUPUESTOS'!$C$10)</f>
        <v>231260.71499999997</v>
      </c>
      <c r="AA117" s="65">
        <f>IF($C117="","",Y117*('⚙️ SUPUESTOS'!$C$12*'⚙️ SUPUESTOS'!$C$11+(1-'⚙️ SUPUESTOS'!$C$12)*'⚙️ SUPUESTOS'!$C$13))</f>
        <v>13875.798806100001</v>
      </c>
      <c r="AB117" s="65">
        <f>IF($C117="","",IF(Y117&gt;0,ROUND(Y117*'⚙️ SUPUESTOS'!$C$12*'⚙️ SUPUESTOS'!$C$11,0),""))</f>
        <v>5086</v>
      </c>
      <c r="AC117" s="65">
        <f>IF($C117="","",IF(Y117&gt;0,ROUND(Y117*(1-'⚙️ SUPUESTOS'!$C$12)*'⚙️ SUPUESTOS'!$C$13,0),""))</f>
        <v>8789</v>
      </c>
      <c r="AD117" s="65">
        <f t="shared" si="6"/>
        <v>115634</v>
      </c>
      <c r="AE117" s="64">
        <f t="shared" si="7"/>
        <v>16.666479402853149</v>
      </c>
      <c r="AF117" s="59" t="str">
        <f>IF($C117="","",IF(AE117="","—",IF(AE117&lt;='⚙️ SUPUESTOS'!$C$32,"✔ Muy recomendable",IF(AE117&lt;='⚙️ SUPUESTOS'!$C$33,"✔ Recomendable","Valorar"))))</f>
        <v>Valorar</v>
      </c>
      <c r="AG117" s="68">
        <f>IF('📇 INVENTARIO'!O118="","",'📇 INVENTARIO'!O118)</f>
        <v>41.647709999999996</v>
      </c>
      <c r="AH117" s="68">
        <f>IF('📇 INVENTARIO'!P118="","",'📇 INVENTARIO'!P118)</f>
        <v>-4.7109800000000002</v>
      </c>
    </row>
    <row r="118" spans="1:34" ht="45" customHeight="1">
      <c r="A118" s="69">
        <f>IF($C118="","",RANK(O118,$O$3:$O$265,0)+COUNTIF($O$3:O118,O118)-1)</f>
        <v>116</v>
      </c>
      <c r="B118" s="70" t="str">
        <f>IF($C118="","",IF(A118&lt;='⚙️ SUPUESTOS'!$C$29,"Fase 1",IF(A118&lt;='⚙️ SUPUESTOS'!$C$30,"Fase 2","Fase 3")))</f>
        <v>Fase 2</v>
      </c>
      <c r="C118" s="71" t="str">
        <f>IF('📇 INVENTARIO'!B119="","",'📇 INVENTARIO'!B119)</f>
        <v>C/ Águila, 13</v>
      </c>
      <c r="D118" s="70" t="str">
        <f>IF('📇 INVENTARIO'!C119="","",'📇 INVENTARIO'!C119)</f>
        <v>7723702UM5172D</v>
      </c>
      <c r="E118" s="70" t="str">
        <f>IF('📇 INVENTARIO'!D119="","",'📇 INVENTARIO'!D119)</f>
        <v>4718606027</v>
      </c>
      <c r="F118" s="70" t="str">
        <f>IF('📇 INVENTARIO'!F119="","",'📇 INVENTARIO'!F119)</f>
        <v>E</v>
      </c>
      <c r="G118" s="72">
        <f>IF('📇 INVENTARIO'!G119="","",'📇 INVENTARIO'!G119)</f>
        <v>265</v>
      </c>
      <c r="H118" s="72">
        <f>IF('📇 INVENTARIO'!H119="","",'📇 INVENTARIO'!H119)</f>
        <v>54.5</v>
      </c>
      <c r="I118" s="72">
        <f>IF('📇 INVENTARIO'!I119="","",'📇 INVENTARIO'!I119)</f>
        <v>135.6</v>
      </c>
      <c r="J118" s="72">
        <f>IF('📇 INVENTARIO'!J119="","",'📇 INVENTARIO'!J119)</f>
        <v>1967</v>
      </c>
      <c r="K118" s="73">
        <f>IF($C118="","",(G118-'⚙️ SUPUESTOS'!$C$20)/('⚙️ SUPUESTOS'!$C$25-'⚙️ SUPUESTOS'!$C$20))</f>
        <v>0.20998278829604131</v>
      </c>
      <c r="L118" s="73">
        <f>IF($C118="","",VLOOKUP($E118,'📊 SECCIONES'!$B$4:$S$9,16,FALSE()))</f>
        <v>0.19481959841367916</v>
      </c>
      <c r="M118" s="73">
        <f>IF($C118="","",VLOOKUP($E118,'📊 SECCIONES'!$B$4:$S$9,17,FALSE()))</f>
        <v>0.2663212435233161</v>
      </c>
      <c r="N118" s="73">
        <f>IF($C118="","",VLOOKUP($E118,'📊 SECCIONES'!$B$4:$S$9,18,FALSE()))</f>
        <v>1</v>
      </c>
      <c r="O118" s="74">
        <f>IF($C118="","",ROUND('⚙️ SUPUESTOS'!$C$21*K118+'⚙️ SUPUESTOS'!$C$22*L118+'⚙️ SUPUESTOS'!$C$23*M118+'⚙️ SUPUESTOS'!$C$24*N118,4))</f>
        <v>0.28560000000000002</v>
      </c>
      <c r="P118" s="75">
        <f>IF($C118="","",VLOOKUP($E118,'📊 SECCIONES'!$B$4:$S$9,7,FALSE()))</f>
        <v>24.5</v>
      </c>
      <c r="Q118" s="76">
        <f>IF($C118="","",VLOOKUP($E118,'📊 SECCIONES'!$B$4:$S$9,8,FALSE()))</f>
        <v>25206</v>
      </c>
      <c r="R118" s="75">
        <f>IF($C118="","",VLOOKUP($E118,'📊 SECCIONES'!$B$4:$S$9,10,FALSE()))</f>
        <v>32.6</v>
      </c>
      <c r="S118" s="72">
        <f>IF('📇 INVENTARIO'!K119="","",'📇 INVENTARIO'!K119)</f>
        <v>5</v>
      </c>
      <c r="T118" s="77" t="str">
        <f t="shared" si="4"/>
        <v>Objetivo: alcanzar calificación C. Actual: Cal.E. SATE fachada + carpinterías doble + instalación fotovoltaica</v>
      </c>
      <c r="U118" s="70" t="str">
        <f t="shared" si="5"/>
        <v>Valorar ascensor (verificar)</v>
      </c>
      <c r="V118" s="78">
        <f>IF('📇 INVENTARIO'!L119="","",'📇 INVENTARIO'!L119)</f>
        <v>1038</v>
      </c>
      <c r="W118" s="75">
        <f>IF($C118="","",V118*'⚙️ SUPUESTOS'!$C$8*'⚙️ SUPUESTOS'!$C$9)</f>
        <v>217.98</v>
      </c>
      <c r="X118" s="78">
        <f>IF('📇 INVENTARIO'!N119="","",'📇 INVENTARIO'!N119)</f>
        <v>1362</v>
      </c>
      <c r="Y118" s="78">
        <f>IF($C118="","",W118*X118*'⚙️ SUPUESTOS'!$C$7)</f>
        <v>267199.88400000002</v>
      </c>
      <c r="Z118" s="76">
        <f>IF($C118="","",W118*'⚙️ SUPUESTOS'!$C$10)</f>
        <v>291003.3</v>
      </c>
      <c r="AA118" s="76">
        <f>IF($C118="","",Y118*('⚙️ SUPUESTOS'!$C$12*'⚙️ SUPUESTOS'!$C$11+(1-'⚙️ SUPUESTOS'!$C$12)*'⚙️ SUPUESTOS'!$C$13))</f>
        <v>18223.032088800002</v>
      </c>
      <c r="AB118" s="76">
        <f>IF($C118="","",IF(Y118&gt;0,ROUND(Y118*'⚙️ SUPUESTOS'!$C$12*'⚙️ SUPUESTOS'!$C$11,0),""))</f>
        <v>6680</v>
      </c>
      <c r="AC118" s="76">
        <f>IF($C118="","",IF(Y118&gt;0,ROUND(Y118*(1-'⚙️ SUPUESTOS'!$C$12)*'⚙️ SUPUESTOS'!$C$13,0),""))</f>
        <v>11543</v>
      </c>
      <c r="AD118" s="76">
        <f t="shared" si="6"/>
        <v>164573</v>
      </c>
      <c r="AE118" s="75">
        <f t="shared" si="7"/>
        <v>15.968983568813039</v>
      </c>
      <c r="AF118" s="70" t="str">
        <f>IF($C118="","",IF(AE118="","—",IF(AE118&lt;='⚙️ SUPUESTOS'!$C$32,"✔ Muy recomendable",IF(AE118&lt;='⚙️ SUPUESTOS'!$C$33,"✔ Recomendable","Valorar"))))</f>
        <v>✔ Recomendable</v>
      </c>
      <c r="AG118" s="79">
        <f>IF('📇 INVENTARIO'!O119="","",'📇 INVENTARIO'!O119)</f>
        <v>41.647644</v>
      </c>
      <c r="AH118" s="79">
        <f>IF('📇 INVENTARIO'!P119="","",'📇 INVENTARIO'!P119)</f>
        <v>-4.7102760000000004</v>
      </c>
    </row>
    <row r="119" spans="1:34" ht="45" customHeight="1">
      <c r="A119" s="58">
        <f>IF($C119="","",RANK(O119,$O$3:$O$265,0)+COUNTIF($O$3:O119,O119)-1)</f>
        <v>117</v>
      </c>
      <c r="B119" s="59" t="str">
        <f>IF($C119="","",IF(A119&lt;='⚙️ SUPUESTOS'!$C$29,"Fase 1",IF(A119&lt;='⚙️ SUPUESTOS'!$C$30,"Fase 2","Fase 3")))</f>
        <v>Fase 2</v>
      </c>
      <c r="C119" s="60" t="str">
        <f>IF('📇 INVENTARIO'!B120="","",'📇 INVENTARIO'!B120)</f>
        <v>C/ Zorzal, 8</v>
      </c>
      <c r="D119" s="59" t="str">
        <f>IF('📇 INVENTARIO'!C120="","",'📇 INVENTARIO'!C120)</f>
        <v>7723705UM5172D</v>
      </c>
      <c r="E119" s="59" t="str">
        <f>IF('📇 INVENTARIO'!D120="","",'📇 INVENTARIO'!D120)</f>
        <v>4718606027</v>
      </c>
      <c r="F119" s="59" t="str">
        <f>IF('📇 INVENTARIO'!F120="","",'📇 INVENTARIO'!F120)</f>
        <v>F</v>
      </c>
      <c r="G119" s="61">
        <f>IF('📇 INVENTARIO'!G120="","",'📇 INVENTARIO'!G120)</f>
        <v>261</v>
      </c>
      <c r="H119" s="61">
        <f>IF('📇 INVENTARIO'!H120="","",'📇 INVENTARIO'!H120)</f>
        <v>55</v>
      </c>
      <c r="I119" s="61">
        <f>IF('📇 INVENTARIO'!I120="","",'📇 INVENTARIO'!I120)</f>
        <v>136</v>
      </c>
      <c r="J119" s="61">
        <f>IF('📇 INVENTARIO'!J120="","",'📇 INVENTARIO'!J120)</f>
        <v>1983</v>
      </c>
      <c r="K119" s="62">
        <f>IF($C119="","",(G119-'⚙️ SUPUESTOS'!$C$20)/('⚙️ SUPUESTOS'!$C$25-'⚙️ SUPUESTOS'!$C$20))</f>
        <v>0.20309810671256454</v>
      </c>
      <c r="L119" s="62">
        <f>IF($C119="","",VLOOKUP($E119,'📊 SECCIONES'!$B$4:$S$9,16,FALSE()))</f>
        <v>0.19481959841367916</v>
      </c>
      <c r="M119" s="62">
        <f>IF($C119="","",VLOOKUP($E119,'📊 SECCIONES'!$B$4:$S$9,17,FALSE()))</f>
        <v>0.2663212435233161</v>
      </c>
      <c r="N119" s="62">
        <f>IF($C119="","",VLOOKUP($E119,'📊 SECCIONES'!$B$4:$S$9,18,FALSE()))</f>
        <v>1</v>
      </c>
      <c r="O119" s="63">
        <f>IF($C119="","",ROUND('⚙️ SUPUESTOS'!$C$21*K119+'⚙️ SUPUESTOS'!$C$22*L119+'⚙️ SUPUESTOS'!$C$23*M119+'⚙️ SUPUESTOS'!$C$24*N119,4))</f>
        <v>0.28179999999999999</v>
      </c>
      <c r="P119" s="64">
        <f>IF($C119="","",VLOOKUP($E119,'📊 SECCIONES'!$B$4:$S$9,7,FALSE()))</f>
        <v>24.5</v>
      </c>
      <c r="Q119" s="65">
        <f>IF($C119="","",VLOOKUP($E119,'📊 SECCIONES'!$B$4:$S$9,8,FALSE()))</f>
        <v>25206</v>
      </c>
      <c r="R119" s="64">
        <f>IF($C119="","",VLOOKUP($E119,'📊 SECCIONES'!$B$4:$S$9,10,FALSE()))</f>
        <v>32.6</v>
      </c>
      <c r="S119" s="61">
        <f>IF('📇 INVENTARIO'!K120="","",'📇 INVENTARIO'!K120)</f>
        <v>6</v>
      </c>
      <c r="T119" s="66" t="str">
        <f t="shared" si="4"/>
        <v>Objetivo: alcanzar calificación C. Actual: Cal.F. SATE integral + cubierta + carpinterías triple + aerotermia + instalación fotovoltaica</v>
      </c>
      <c r="U119" s="59" t="str">
        <f t="shared" si="5"/>
        <v>Valorar ascensor (verificar)</v>
      </c>
      <c r="V119" s="67">
        <f>IF('📇 INVENTARIO'!L120="","",'📇 INVENTARIO'!L120)</f>
        <v>461.2</v>
      </c>
      <c r="W119" s="64">
        <f>IF($C119="","",V119*'⚙️ SUPUESTOS'!$C$8*'⚙️ SUPUESTOS'!$C$9)</f>
        <v>96.85199999999999</v>
      </c>
      <c r="X119" s="67">
        <f>IF('📇 INVENTARIO'!N120="","",'📇 INVENTARIO'!N120)</f>
        <v>1384</v>
      </c>
      <c r="Y119" s="67">
        <f>IF($C119="","",W119*X119*'⚙️ SUPUESTOS'!$C$7)</f>
        <v>120638.85119999998</v>
      </c>
      <c r="Z119" s="65">
        <f>IF($C119="","",W119*'⚙️ SUPUESTOS'!$C$10)</f>
        <v>129297.41999999998</v>
      </c>
      <c r="AA119" s="65">
        <f>IF($C119="","",Y119*('⚙️ SUPUESTOS'!$C$12*'⚙️ SUPUESTOS'!$C$11+(1-'⚙️ SUPUESTOS'!$C$12)*'⚙️ SUPUESTOS'!$C$13))</f>
        <v>8227.56965184</v>
      </c>
      <c r="AB119" s="65">
        <f>IF($C119="","",IF(Y119&gt;0,ROUND(Y119*'⚙️ SUPUESTOS'!$C$12*'⚙️ SUPUESTOS'!$C$11,0),""))</f>
        <v>3016</v>
      </c>
      <c r="AC119" s="65">
        <f>IF($C119="","",IF(Y119&gt;0,ROUND(Y119*(1-'⚙️ SUPUESTOS'!$C$12)*'⚙️ SUPUESTOS'!$C$13,0),""))</f>
        <v>5212</v>
      </c>
      <c r="AD119" s="65">
        <f t="shared" si="6"/>
        <v>76392</v>
      </c>
      <c r="AE119" s="64">
        <f t="shared" si="7"/>
        <v>15.715141344453295</v>
      </c>
      <c r="AF119" s="59" t="str">
        <f>IF($C119="","",IF(AE119="","—",IF(AE119&lt;='⚙️ SUPUESTOS'!$C$32,"✔ Muy recomendable",IF(AE119&lt;='⚙️ SUPUESTOS'!$C$33,"✔ Recomendable","Valorar"))))</f>
        <v>✔ Recomendable</v>
      </c>
      <c r="AG119" s="68">
        <f>IF('📇 INVENTARIO'!O120="","",'📇 INVENTARIO'!O120)</f>
        <v>41.648446</v>
      </c>
      <c r="AH119" s="68">
        <f>IF('📇 INVENTARIO'!P120="","",'📇 INVENTARIO'!P120)</f>
        <v>-4.7103840000000003</v>
      </c>
    </row>
    <row r="120" spans="1:34" ht="45" customHeight="1">
      <c r="A120" s="69">
        <f>IF($C120="","",RANK(O120,$O$3:$O$265,0)+COUNTIF($O$3:O120,O120)-1)</f>
        <v>118</v>
      </c>
      <c r="B120" s="70" t="str">
        <f>IF($C120="","",IF(A120&lt;='⚙️ SUPUESTOS'!$C$29,"Fase 1",IF(A120&lt;='⚙️ SUPUESTOS'!$C$30,"Fase 2","Fase 3")))</f>
        <v>Fase 2</v>
      </c>
      <c r="C120" s="71" t="str">
        <f>IF('📇 INVENTARIO'!B121="","",'📇 INVENTARIO'!B121)</f>
        <v>C/ Pavo Real, 2</v>
      </c>
      <c r="D120" s="70" t="str">
        <f>IF('📇 INVENTARIO'!C121="","",'📇 INVENTARIO'!C121)</f>
        <v>7623002UM5172D</v>
      </c>
      <c r="E120" s="70" t="str">
        <f>IF('📇 INVENTARIO'!D121="","",'📇 INVENTARIO'!D121)</f>
        <v>4718606027</v>
      </c>
      <c r="F120" s="70" t="str">
        <f>IF('📇 INVENTARIO'!F121="","",'📇 INVENTARIO'!F121)</f>
        <v>E</v>
      </c>
      <c r="G120" s="72">
        <f>IF('📇 INVENTARIO'!G121="","",'📇 INVENTARIO'!G121)</f>
        <v>259</v>
      </c>
      <c r="H120" s="72">
        <f>IF('📇 INVENTARIO'!H121="","",'📇 INVENTARIO'!H121)</f>
        <v>54.5</v>
      </c>
      <c r="I120" s="72">
        <f>IF('📇 INVENTARIO'!I121="","",'📇 INVENTARIO'!I121)</f>
        <v>99.9</v>
      </c>
      <c r="J120" s="72">
        <f>IF('📇 INVENTARIO'!J121="","",'📇 INVENTARIO'!J121)</f>
        <v>1969</v>
      </c>
      <c r="K120" s="73">
        <f>IF($C120="","",(G120-'⚙️ SUPUESTOS'!$C$20)/('⚙️ SUPUESTOS'!$C$25-'⚙️ SUPUESTOS'!$C$20))</f>
        <v>0.19965576592082615</v>
      </c>
      <c r="L120" s="73">
        <f>IF($C120="","",VLOOKUP($E120,'📊 SECCIONES'!$B$4:$S$9,16,FALSE()))</f>
        <v>0.19481959841367916</v>
      </c>
      <c r="M120" s="73">
        <f>IF($C120="","",VLOOKUP($E120,'📊 SECCIONES'!$B$4:$S$9,17,FALSE()))</f>
        <v>0.2663212435233161</v>
      </c>
      <c r="N120" s="73">
        <f>IF($C120="","",VLOOKUP($E120,'📊 SECCIONES'!$B$4:$S$9,18,FALSE()))</f>
        <v>1</v>
      </c>
      <c r="O120" s="74">
        <f>IF($C120="","",ROUND('⚙️ SUPUESTOS'!$C$21*K120+'⚙️ SUPUESTOS'!$C$22*L120+'⚙️ SUPUESTOS'!$C$23*M120+'⚙️ SUPUESTOS'!$C$24*N120,4))</f>
        <v>0.28000000000000003</v>
      </c>
      <c r="P120" s="75">
        <f>IF($C120="","",VLOOKUP($E120,'📊 SECCIONES'!$B$4:$S$9,7,FALSE()))</f>
        <v>24.5</v>
      </c>
      <c r="Q120" s="76">
        <f>IF($C120="","",VLOOKUP($E120,'📊 SECCIONES'!$B$4:$S$9,8,FALSE()))</f>
        <v>25206</v>
      </c>
      <c r="R120" s="75">
        <f>IF($C120="","",VLOOKUP($E120,'📊 SECCIONES'!$B$4:$S$9,10,FALSE()))</f>
        <v>32.6</v>
      </c>
      <c r="S120" s="72">
        <f>IF('📇 INVENTARIO'!K121="","",'📇 INVENTARIO'!K121)</f>
        <v>6</v>
      </c>
      <c r="T120" s="77" t="str">
        <f t="shared" si="4"/>
        <v>Objetivo: alcanzar calificación C. Actual: Cal.E. SATE fachada + carpinterías doble + instalación fotovoltaica</v>
      </c>
      <c r="U120" s="70" t="str">
        <f t="shared" si="5"/>
        <v>Valorar ascensor (verificar)</v>
      </c>
      <c r="V120" s="78">
        <f>IF('📇 INVENTARIO'!L121="","",'📇 INVENTARIO'!L121)</f>
        <v>298.8</v>
      </c>
      <c r="W120" s="75">
        <f>IF($C120="","",V120*'⚙️ SUPUESTOS'!$C$8*'⚙️ SUPUESTOS'!$C$9)</f>
        <v>62.747999999999998</v>
      </c>
      <c r="X120" s="78">
        <f>IF('📇 INVENTARIO'!N121="","",'📇 INVENTARIO'!N121)</f>
        <v>1470</v>
      </c>
      <c r="Y120" s="78">
        <f>IF($C120="","",W120*X120*'⚙️ SUPUESTOS'!$C$7)</f>
        <v>83015.604000000007</v>
      </c>
      <c r="Z120" s="76">
        <f>IF($C120="","",W120*'⚙️ SUPUESTOS'!$C$10)</f>
        <v>83768.58</v>
      </c>
      <c r="AA120" s="76">
        <f>IF($C120="","",Y120*('⚙️ SUPUESTOS'!$C$12*'⚙️ SUPUESTOS'!$C$11+(1-'⚙️ SUPUESTOS'!$C$12)*'⚙️ SUPUESTOS'!$C$13))</f>
        <v>5661.6641928000017</v>
      </c>
      <c r="AB120" s="76">
        <f>IF($C120="","",IF(Y120&gt;0,ROUND(Y120*'⚙️ SUPUESTOS'!$C$12*'⚙️ SUPUESTOS'!$C$11,0),""))</f>
        <v>2075</v>
      </c>
      <c r="AC120" s="76">
        <f>IF($C120="","",IF(Y120&gt;0,ROUND(Y120*(1-'⚙️ SUPUESTOS'!$C$12)*'⚙️ SUPUESTOS'!$C$13,0),""))</f>
        <v>3586</v>
      </c>
      <c r="AD120" s="76">
        <f t="shared" si="6"/>
        <v>57773</v>
      </c>
      <c r="AE120" s="75">
        <f t="shared" si="7"/>
        <v>14.795752122941058</v>
      </c>
      <c r="AF120" s="70" t="str">
        <f>IF($C120="","",IF(AE120="","—",IF(AE120&lt;='⚙️ SUPUESTOS'!$C$32,"✔ Muy recomendable",IF(AE120&lt;='⚙️ SUPUESTOS'!$C$33,"✔ Recomendable","Valorar"))))</f>
        <v>✔ Muy recomendable</v>
      </c>
      <c r="AG120" s="79">
        <f>IF('📇 INVENTARIO'!O121="","",'📇 INVENTARIO'!O121)</f>
        <v>41.647840000000002</v>
      </c>
      <c r="AH120" s="79">
        <f>IF('📇 INVENTARIO'!P121="","",'📇 INVENTARIO'!P121)</f>
        <v>-4.7116100000000003</v>
      </c>
    </row>
    <row r="121" spans="1:34" ht="45" customHeight="1">
      <c r="A121" s="58">
        <f>IF($C121="","",RANK(O121,$O$3:$O$265,0)+COUNTIF($O$3:O121,O121)-1)</f>
        <v>119</v>
      </c>
      <c r="B121" s="59" t="str">
        <f>IF($C121="","",IF(A121&lt;='⚙️ SUPUESTOS'!$C$29,"Fase 1",IF(A121&lt;='⚙️ SUPUESTOS'!$C$30,"Fase 2","Fase 3")))</f>
        <v>Fase 2</v>
      </c>
      <c r="C121" s="60" t="str">
        <f>IF('📇 INVENTARIO'!B122="","",'📇 INVENTARIO'!B122)</f>
        <v>C/ Gallo, 21</v>
      </c>
      <c r="D121" s="59" t="str">
        <f>IF('📇 INVENTARIO'!C122="","",'📇 INVENTARIO'!C122)</f>
        <v>7822103UM5172B</v>
      </c>
      <c r="E121" s="59" t="str">
        <f>IF('📇 INVENTARIO'!D122="","",'📇 INVENTARIO'!D122)</f>
        <v>4718606028</v>
      </c>
      <c r="F121" s="59" t="str">
        <f>IF('📇 INVENTARIO'!F122="","",'📇 INVENTARIO'!F122)</f>
        <v>E</v>
      </c>
      <c r="G121" s="61">
        <f>IF('📇 INVENTARIO'!G122="","",'📇 INVENTARIO'!G122)</f>
        <v>263</v>
      </c>
      <c r="H121" s="61">
        <f>IF('📇 INVENTARIO'!H122="","",'📇 INVENTARIO'!H122)</f>
        <v>55</v>
      </c>
      <c r="I121" s="61">
        <f>IF('📇 INVENTARIO'!I122="","",'📇 INVENTARIO'!I122)</f>
        <v>148.6</v>
      </c>
      <c r="J121" s="61">
        <f>IF('📇 INVENTARIO'!J122="","",'📇 INVENTARIO'!J122)</f>
        <v>1969</v>
      </c>
      <c r="K121" s="62">
        <f>IF($C121="","",(G121-'⚙️ SUPUESTOS'!$C$20)/('⚙️ SUPUESTOS'!$C$25-'⚙️ SUPUESTOS'!$C$20))</f>
        <v>0.20654044750430292</v>
      </c>
      <c r="L121" s="62">
        <f>IF($C121="","",VLOOKUP($E121,'📊 SECCIONES'!$B$4:$S$9,16,FALSE()))</f>
        <v>0.24395028956990591</v>
      </c>
      <c r="M121" s="62">
        <f>IF($C121="","",VLOOKUP($E121,'📊 SECCIONES'!$B$4:$S$9,17,FALSE()))</f>
        <v>0.34507772020725386</v>
      </c>
      <c r="N121" s="62">
        <f>IF($C121="","",VLOOKUP($E121,'📊 SECCIONES'!$B$4:$S$9,18,FALSE()))</f>
        <v>0.70909090909090911</v>
      </c>
      <c r="O121" s="63">
        <f>IF($C121="","",ROUND('⚙️ SUPUESTOS'!$C$21*K121+'⚙️ SUPUESTOS'!$C$22*L121+'⚙️ SUPUESTOS'!$C$23*M121+'⚙️ SUPUESTOS'!$C$24*N121,4))</f>
        <v>0.27939999999999998</v>
      </c>
      <c r="P121" s="64">
        <f>IF($C121="","",VLOOKUP($E121,'📊 SECCIONES'!$B$4:$S$9,7,FALSE()))</f>
        <v>29.81</v>
      </c>
      <c r="Q121" s="65">
        <f>IF($C121="","",VLOOKUP($E121,'📊 SECCIONES'!$B$4:$S$9,8,FALSE()))</f>
        <v>23665</v>
      </c>
      <c r="R121" s="64">
        <f>IF($C121="","",VLOOKUP($E121,'📊 SECCIONES'!$B$4:$S$9,10,FALSE()))</f>
        <v>26.2</v>
      </c>
      <c r="S121" s="61">
        <f>IF('📇 INVENTARIO'!K122="","",'📇 INVENTARIO'!K122)</f>
        <v>6</v>
      </c>
      <c r="T121" s="66" t="str">
        <f t="shared" si="4"/>
        <v>Objetivo: alcanzar calificación C. Actual: Cal.E. SATE fachada + carpinterías doble + instalación fotovoltaica</v>
      </c>
      <c r="U121" s="59" t="str">
        <f t="shared" si="5"/>
        <v>Valorar ascensor (verificar)</v>
      </c>
      <c r="V121" s="67">
        <f>IF('📇 INVENTARIO'!L122="","",'📇 INVENTARIO'!L122)</f>
        <v>309.3</v>
      </c>
      <c r="W121" s="64">
        <f>IF($C121="","",V121*'⚙️ SUPUESTOS'!$C$8*'⚙️ SUPUESTOS'!$C$9)</f>
        <v>64.953000000000003</v>
      </c>
      <c r="X121" s="67">
        <f>IF('📇 INVENTARIO'!N122="","",'📇 INVENTARIO'!N122)</f>
        <v>1459</v>
      </c>
      <c r="Y121" s="67">
        <f>IF($C121="","",W121*X121*'⚙️ SUPUESTOS'!$C$7)</f>
        <v>85289.784300000014</v>
      </c>
      <c r="Z121" s="65">
        <f>IF($C121="","",W121*'⚙️ SUPUESTOS'!$C$10)</f>
        <v>86712.255000000005</v>
      </c>
      <c r="AA121" s="65">
        <f>IF($C121="","",Y121*('⚙️ SUPUESTOS'!$C$12*'⚙️ SUPUESTOS'!$C$11+(1-'⚙️ SUPUESTOS'!$C$12)*'⚙️ SUPUESTOS'!$C$13))</f>
        <v>5816.7632892600022</v>
      </c>
      <c r="AB121" s="65">
        <f>IF($C121="","",IF(Y121&gt;0,ROUND(Y121*'⚙️ SUPUESTOS'!$C$12*'⚙️ SUPUESTOS'!$C$11,0),""))</f>
        <v>2132</v>
      </c>
      <c r="AC121" s="65">
        <f>IF($C121="","",IF(Y121&gt;0,ROUND(Y121*(1-'⚙️ SUPUESTOS'!$C$12)*'⚙️ SUPUESTOS'!$C$13,0),""))</f>
        <v>3685</v>
      </c>
      <c r="AD121" s="65">
        <f t="shared" si="6"/>
        <v>58707</v>
      </c>
      <c r="AE121" s="64">
        <f t="shared" si="7"/>
        <v>14.90730337266851</v>
      </c>
      <c r="AF121" s="59" t="str">
        <f>IF($C121="","",IF(AE121="","—",IF(AE121&lt;='⚙️ SUPUESTOS'!$C$32,"✔ Muy recomendable",IF(AE121&lt;='⚙️ SUPUESTOS'!$C$33,"✔ Recomendable","Valorar"))))</f>
        <v>✔ Muy recomendable</v>
      </c>
      <c r="AG121" s="68">
        <f>IF('📇 INVENTARIO'!O122="","",'📇 INVENTARIO'!O122)</f>
        <v>41.64725</v>
      </c>
      <c r="AH121" s="68">
        <f>IF('📇 INVENTARIO'!P122="","",'📇 INVENTARIO'!P122)</f>
        <v>-4.7081600000000003</v>
      </c>
    </row>
    <row r="122" spans="1:34" ht="45" customHeight="1">
      <c r="A122" s="58">
        <f>IF($C122="","",RANK(O122,$O$3:$O$265,0)+COUNTIF($O$3:O122,O122)-1)</f>
        <v>120</v>
      </c>
      <c r="B122" s="59" t="str">
        <f>IF($C122="","",IF(A122&lt;='⚙️ SUPUESTOS'!$C$29,"Fase 1",IF(A122&lt;='⚙️ SUPUESTOS'!$C$30,"Fase 2","Fase 3")))</f>
        <v>Fase 2</v>
      </c>
      <c r="C122" s="60" t="str">
        <f>IF('📇 INVENTARIO'!B126="","",'📇 INVENTARIO'!B126)</f>
        <v>C/ Villabáñez, 25</v>
      </c>
      <c r="D122" s="59" t="str">
        <f>IF('📇 INVENTARIO'!C126="","",'📇 INVENTARIO'!C126)</f>
        <v>7924207UM5172D</v>
      </c>
      <c r="E122" s="59" t="str">
        <f>IF('📇 INVENTARIO'!D126="","",'📇 INVENTARIO'!D126)</f>
        <v>4718606024</v>
      </c>
      <c r="F122" s="59" t="str">
        <f>IF('📇 INVENTARIO'!F126="","",'📇 INVENTARIO'!F126)</f>
        <v>F</v>
      </c>
      <c r="G122" s="61">
        <f>IF('📇 INVENTARIO'!G126="","",'📇 INVENTARIO'!G126)</f>
        <v>304</v>
      </c>
      <c r="H122" s="61">
        <f>IF('📇 INVENTARIO'!H126="","",'📇 INVENTARIO'!H126)</f>
        <v>64</v>
      </c>
      <c r="I122" s="61">
        <f>IF('📇 INVENTARIO'!I126="","",'📇 INVENTARIO'!I126)</f>
        <v>203</v>
      </c>
      <c r="J122" s="61">
        <f>IF('📇 INVENTARIO'!J126="","",'📇 INVENTARIO'!J126)</f>
        <v>1965</v>
      </c>
      <c r="K122" s="62">
        <f>IF($C122="","",(G122-'⚙️ SUPUESTOS'!$C$20)/('⚙️ SUPUESTOS'!$C$25-'⚙️ SUPUESTOS'!$C$20))</f>
        <v>0.27710843373493976</v>
      </c>
      <c r="L122" s="62">
        <f>IF($C122="","",VLOOKUP($E122,'📊 SECCIONES'!$B$4:$S$9,16,FALSE()))</f>
        <v>0.13391192517993736</v>
      </c>
      <c r="M122" s="62">
        <f>IF($C122="","",VLOOKUP($E122,'📊 SECCIONES'!$B$4:$S$9,17,FALSE()))</f>
        <v>0.16476683937823833</v>
      </c>
      <c r="N122" s="62">
        <f>IF($C122="","",VLOOKUP($E122,'📊 SECCIONES'!$B$4:$S$9,18,FALSE()))</f>
        <v>0.79545454545454541</v>
      </c>
      <c r="O122" s="63">
        <f>IF($C122="","",ROUND('⚙️ SUPUESTOS'!$C$21*K122+'⚙️ SUPUESTOS'!$C$22*L122+'⚙️ SUPUESTOS'!$C$23*M122+'⚙️ SUPUESTOS'!$C$24*N122,4))</f>
        <v>0.27650000000000002</v>
      </c>
      <c r="P122" s="64">
        <f>IF($C122="","",VLOOKUP($E122,'📊 SECCIONES'!$B$4:$S$9,7,FALSE()))</f>
        <v>30.06</v>
      </c>
      <c r="Q122" s="65">
        <f>IF($C122="","",VLOOKUP($E122,'📊 SECCIONES'!$B$4:$S$9,8,FALSE()))</f>
        <v>25132</v>
      </c>
      <c r="R122" s="64">
        <f>IF($C122="","",VLOOKUP($E122,'📊 SECCIONES'!$B$4:$S$9,10,FALSE()))</f>
        <v>28.1</v>
      </c>
      <c r="S122" s="61">
        <f>IF('📇 INVENTARIO'!K126="","",'📇 INVENTARIO'!K126)</f>
        <v>3</v>
      </c>
      <c r="T122" s="66" t="str">
        <f t="shared" si="4"/>
        <v>Objetivo: alcanzar calificación C. Actual: Cal.F. SATE integral + cubierta + carpinterías triple + aerotermia + instalación fotovoltaica</v>
      </c>
      <c r="U122" s="59" t="str">
        <f t="shared" si="5"/>
        <v>—</v>
      </c>
      <c r="V122" s="67">
        <f>IF('📇 INVENTARIO'!L126="","",'📇 INVENTARIO'!L126)</f>
        <v>96.1</v>
      </c>
      <c r="W122" s="64">
        <f>IF($C122="","",V122*'⚙️ SUPUESTOS'!$C$8*'⚙️ SUPUESTOS'!$C$9)</f>
        <v>20.180999999999997</v>
      </c>
      <c r="X122" s="67">
        <f>IF('📇 INVENTARIO'!N126="","",'📇 INVENTARIO'!N126)</f>
        <v>1389</v>
      </c>
      <c r="Y122" s="67">
        <f>IF($C122="","",W122*X122*'⚙️ SUPUESTOS'!$C$7)</f>
        <v>25228.268099999998</v>
      </c>
      <c r="Z122" s="65">
        <f>IF($C122="","",W122*'⚙️ SUPUESTOS'!$C$10)</f>
        <v>26941.634999999995</v>
      </c>
      <c r="AA122" s="65">
        <f>IF($C122="","",Y122*('⚙️ SUPUESTOS'!$C$12*'⚙️ SUPUESTOS'!$C$11+(1-'⚙️ SUPUESTOS'!$C$12)*'⚙️ SUPUESTOS'!$C$13))</f>
        <v>1720.5678844200002</v>
      </c>
      <c r="AB122" s="65">
        <f>IF($C122="","",IF(Y122&gt;0,ROUND(Y122*'⚙️ SUPUESTOS'!$C$12*'⚙️ SUPUESTOS'!$C$11,0),""))</f>
        <v>631</v>
      </c>
      <c r="AC122" s="65">
        <f>IF($C122="","",IF(Y122&gt;0,ROUND(Y122*(1-'⚙️ SUPUESTOS'!$C$12)*'⚙️ SUPUESTOS'!$C$13,0),""))</f>
        <v>1090</v>
      </c>
      <c r="AD122" s="76">
        <f t="shared" si="6"/>
        <v>16073</v>
      </c>
      <c r="AE122" s="75">
        <f t="shared" si="7"/>
        <v>15.658571361211919</v>
      </c>
      <c r="AF122" s="70" t="str">
        <f>IF($C122="","",IF(AE122="","—",IF(AE122&lt;='⚙️ SUPUESTOS'!$C$32,"✔ Muy recomendable",IF(AE122&lt;='⚙️ SUPUESTOS'!$C$33,"✔ Recomendable","Valorar"))))</f>
        <v>✔ Recomendable</v>
      </c>
      <c r="AG122" s="79">
        <f>IF('📇 INVENTARIO'!O123="","",'📇 INVENTARIO'!O123)</f>
        <v>41.649749999999997</v>
      </c>
      <c r="AH122" s="79">
        <f>IF('📇 INVENTARIO'!P123="","",'📇 INVENTARIO'!P123)</f>
        <v>-4.7093350000000003</v>
      </c>
    </row>
    <row r="123" spans="1:34" ht="45" customHeight="1">
      <c r="A123" s="69">
        <f>IF($C123="","",RANK(O123,$O$3:$O$265,0)+COUNTIF($O$3:O123,O123)-1)</f>
        <v>121</v>
      </c>
      <c r="B123" s="70" t="str">
        <f>IF($C123="","",IF(A123&lt;='⚙️ SUPUESTOS'!$C$29,"Fase 1",IF(A123&lt;='⚙️ SUPUESTOS'!$C$30,"Fase 2","Fase 3")))</f>
        <v>Fase 2</v>
      </c>
      <c r="C123" s="71" t="str">
        <f>IF('📇 INVENTARIO'!B125="","",'📇 INVENTARIO'!B125)</f>
        <v>C/ Gallo, 17</v>
      </c>
      <c r="D123" s="70" t="str">
        <f>IF('📇 INVENTARIO'!C125="","",'📇 INVENTARIO'!C125)</f>
        <v>7822104UM5172B</v>
      </c>
      <c r="E123" s="70" t="str">
        <f>IF('📇 INVENTARIO'!D125="","",'📇 INVENTARIO'!D125)</f>
        <v>4718606028</v>
      </c>
      <c r="F123" s="70" t="str">
        <f>IF('📇 INVENTARIO'!F125="","",'📇 INVENTARIO'!F125)</f>
        <v>E</v>
      </c>
      <c r="G123" s="72">
        <f>IF('📇 INVENTARIO'!G125="","",'📇 INVENTARIO'!G125)</f>
        <v>259</v>
      </c>
      <c r="H123" s="72">
        <f>IF('📇 INVENTARIO'!H125="","",'📇 INVENTARIO'!H125)</f>
        <v>54.5</v>
      </c>
      <c r="I123" s="72">
        <f>IF('📇 INVENTARIO'!I125="","",'📇 INVENTARIO'!I125)</f>
        <v>120.9</v>
      </c>
      <c r="J123" s="72">
        <f>IF('📇 INVENTARIO'!J125="","",'📇 INVENTARIO'!J125)</f>
        <v>1970</v>
      </c>
      <c r="K123" s="73">
        <f>IF($C123="","",(G123-'⚙️ SUPUESTOS'!$C$20)/('⚙️ SUPUESTOS'!$C$25-'⚙️ SUPUESTOS'!$C$20))</f>
        <v>0.19965576592082615</v>
      </c>
      <c r="L123" s="73">
        <f>IF($C123="","",VLOOKUP($E123,'📊 SECCIONES'!$B$4:$S$9,16,FALSE()))</f>
        <v>0.24395028956990591</v>
      </c>
      <c r="M123" s="73">
        <f>IF($C123="","",VLOOKUP($E123,'📊 SECCIONES'!$B$4:$S$9,17,FALSE()))</f>
        <v>0.34507772020725386</v>
      </c>
      <c r="N123" s="73">
        <f>IF($C123="","",VLOOKUP($E123,'📊 SECCIONES'!$B$4:$S$9,18,FALSE()))</f>
        <v>0.70909090909090911</v>
      </c>
      <c r="O123" s="74">
        <f>IF($C123="","",ROUND('⚙️ SUPUESTOS'!$C$21*K123+'⚙️ SUPUESTOS'!$C$22*L123+'⚙️ SUPUESTOS'!$C$23*M123+'⚙️ SUPUESTOS'!$C$24*N123,4))</f>
        <v>0.27560000000000001</v>
      </c>
      <c r="P123" s="75">
        <f>IF($C123="","",VLOOKUP($E123,'📊 SECCIONES'!$B$4:$S$9,7,FALSE()))</f>
        <v>29.81</v>
      </c>
      <c r="Q123" s="76">
        <f>IF($C123="","",VLOOKUP($E123,'📊 SECCIONES'!$B$4:$S$9,8,FALSE()))</f>
        <v>23665</v>
      </c>
      <c r="R123" s="75">
        <f>IF($C123="","",VLOOKUP($E123,'📊 SECCIONES'!$B$4:$S$9,10,FALSE()))</f>
        <v>26.2</v>
      </c>
      <c r="S123" s="72">
        <f>IF('📇 INVENTARIO'!K125="","",'📇 INVENTARIO'!K125)</f>
        <v>6</v>
      </c>
      <c r="T123" s="77" t="str">
        <f t="shared" si="4"/>
        <v>Objetivo: alcanzar calificación C. Actual: Cal.E. SATE fachada + carpinterías doble + instalación fotovoltaica</v>
      </c>
      <c r="U123" s="70" t="str">
        <f t="shared" si="5"/>
        <v>Valorar ascensor (verificar)</v>
      </c>
      <c r="V123" s="78">
        <f>IF('📇 INVENTARIO'!L125="","",'📇 INVENTARIO'!L125)</f>
        <v>241</v>
      </c>
      <c r="W123" s="75">
        <f>IF($C123="","",V123*'⚙️ SUPUESTOS'!$C$8*'⚙️ SUPUESTOS'!$C$9)</f>
        <v>50.61</v>
      </c>
      <c r="X123" s="78">
        <f>IF('📇 INVENTARIO'!N125="","",'📇 INVENTARIO'!N125)</f>
        <v>1315</v>
      </c>
      <c r="Y123" s="78">
        <f>IF($C123="","",W123*X123*'⚙️ SUPUESTOS'!$C$7)</f>
        <v>59896.934999999998</v>
      </c>
      <c r="Z123" s="76">
        <f>IF($C123="","",W123*'⚙️ SUPUESTOS'!$C$10)</f>
        <v>67564.350000000006</v>
      </c>
      <c r="AA123" s="76">
        <f>IF($C123="","",Y123*('⚙️ SUPUESTOS'!$C$12*'⚙️ SUPUESTOS'!$C$11+(1-'⚙️ SUPUESTOS'!$C$12)*'⚙️ SUPUESTOS'!$C$13))</f>
        <v>4084.9709670000007</v>
      </c>
      <c r="AB123" s="76">
        <f>IF($C123="","",IF(Y123&gt;0,ROUND(Y123*'⚙️ SUPUESTOS'!$C$12*'⚙️ SUPUESTOS'!$C$11,0),""))</f>
        <v>1497</v>
      </c>
      <c r="AC123" s="76">
        <f>IF($C123="","",IF(Y123&gt;0,ROUND(Y123*(1-'⚙️ SUPUESTOS'!$C$12)*'⚙️ SUPUESTOS'!$C$13,0),""))</f>
        <v>2588</v>
      </c>
      <c r="AD123" s="65">
        <f t="shared" si="6"/>
        <v>34560</v>
      </c>
      <c r="AE123" s="64">
        <f t="shared" si="7"/>
        <v>16.539738114618526</v>
      </c>
      <c r="AF123" s="59" t="str">
        <f>IF($C123="","",IF(AE123="","—",IF(AE123&lt;='⚙️ SUPUESTOS'!$C$32,"✔ Muy recomendable",IF(AE123&lt;='⚙️ SUPUESTOS'!$C$33,"✔ Recomendable","Valorar"))))</f>
        <v>Valorar</v>
      </c>
      <c r="AG123" s="68">
        <f>IF('📇 INVENTARIO'!O124="","",'📇 INVENTARIO'!O124)</f>
        <v>41.64799</v>
      </c>
      <c r="AH123" s="68">
        <f>IF('📇 INVENTARIO'!P124="","",'📇 INVENTARIO'!P124)</f>
        <v>-4.7121700000000004</v>
      </c>
    </row>
    <row r="124" spans="1:34" ht="45" customHeight="1">
      <c r="A124" s="58">
        <f>IF($C124="","",RANK(O124,$O$3:$O$265,0)+COUNTIF($O$3:O124,O124)-1)</f>
        <v>122</v>
      </c>
      <c r="B124" s="59" t="str">
        <f>IF($C124="","",IF(A124&lt;='⚙️ SUPUESTOS'!$C$29,"Fase 1",IF(A124&lt;='⚙️ SUPUESTOS'!$C$30,"Fase 2","Fase 3")))</f>
        <v>Fase 2</v>
      </c>
      <c r="C124" s="60" t="str">
        <f>IF('📇 INVENTARIO'!B124="","",'📇 INVENTARIO'!B124)</f>
        <v>C/ Pelícano, 1</v>
      </c>
      <c r="D124" s="59" t="str">
        <f>IF('📇 INVENTARIO'!C124="","",'📇 INVENTARIO'!C124)</f>
        <v>7623802UM5172D</v>
      </c>
      <c r="E124" s="59" t="str">
        <f>IF('📇 INVENTARIO'!D124="","",'📇 INVENTARIO'!D124)</f>
        <v>4718606027</v>
      </c>
      <c r="F124" s="59" t="str">
        <f>IF('📇 INVENTARIO'!F124="","",'📇 INVENTARIO'!F124)</f>
        <v>E</v>
      </c>
      <c r="G124" s="61">
        <f>IF('📇 INVENTARIO'!G124="","",'📇 INVENTARIO'!G124)</f>
        <v>254</v>
      </c>
      <c r="H124" s="61">
        <f>IF('📇 INVENTARIO'!H124="","",'📇 INVENTARIO'!H124)</f>
        <v>54</v>
      </c>
      <c r="I124" s="61">
        <f>IF('📇 INVENTARIO'!I124="","",'📇 INVENTARIO'!I124)</f>
        <v>138.5</v>
      </c>
      <c r="J124" s="61">
        <f>IF('📇 INVENTARIO'!J124="","",'📇 INVENTARIO'!J124)</f>
        <v>1969</v>
      </c>
      <c r="K124" s="62">
        <f>IF($C124="","",(G124-'⚙️ SUPUESTOS'!$C$20)/('⚙️ SUPUESTOS'!$C$25-'⚙️ SUPUESTOS'!$C$20))</f>
        <v>0.19104991394148021</v>
      </c>
      <c r="L124" s="62">
        <f>IF($C124="","",VLOOKUP($E124,'📊 SECCIONES'!$B$4:$S$9,16,FALSE()))</f>
        <v>0.19481959841367916</v>
      </c>
      <c r="M124" s="62">
        <f>IF($C124="","",VLOOKUP($E124,'📊 SECCIONES'!$B$4:$S$9,17,FALSE()))</f>
        <v>0.2663212435233161</v>
      </c>
      <c r="N124" s="62">
        <f>IF($C124="","",VLOOKUP($E124,'📊 SECCIONES'!$B$4:$S$9,18,FALSE()))</f>
        <v>1</v>
      </c>
      <c r="O124" s="63">
        <f>IF($C124="","",ROUND('⚙️ SUPUESTOS'!$C$21*K124+'⚙️ SUPUESTOS'!$C$22*L124+'⚙️ SUPUESTOS'!$C$23*M124+'⚙️ SUPUESTOS'!$C$24*N124,4))</f>
        <v>0.2752</v>
      </c>
      <c r="P124" s="64">
        <f>IF($C124="","",VLOOKUP($E124,'📊 SECCIONES'!$B$4:$S$9,7,FALSE()))</f>
        <v>24.5</v>
      </c>
      <c r="Q124" s="65">
        <f>IF($C124="","",VLOOKUP($E124,'📊 SECCIONES'!$B$4:$S$9,8,FALSE()))</f>
        <v>25206</v>
      </c>
      <c r="R124" s="64">
        <f>IF($C124="","",VLOOKUP($E124,'📊 SECCIONES'!$B$4:$S$9,10,FALSE()))</f>
        <v>32.6</v>
      </c>
      <c r="S124" s="61">
        <f>IF('📇 INVENTARIO'!K124="","",'📇 INVENTARIO'!K124)</f>
        <v>6</v>
      </c>
      <c r="T124" s="66" t="str">
        <f t="shared" si="4"/>
        <v>Objetivo: alcanzar calificación C. Actual: Cal.E. SATE fachada + carpinterías doble + instalación fotovoltaica</v>
      </c>
      <c r="U124" s="59" t="str">
        <f t="shared" si="5"/>
        <v>Valorar ascensor (verificar)</v>
      </c>
      <c r="V124" s="67">
        <f>IF('📇 INVENTARIO'!L124="","",'📇 INVENTARIO'!L124)</f>
        <v>271.8</v>
      </c>
      <c r="W124" s="64">
        <f>IF($C124="","",V124*'⚙️ SUPUESTOS'!$C$8*'⚙️ SUPUESTOS'!$C$9)</f>
        <v>57.078000000000003</v>
      </c>
      <c r="X124" s="67">
        <f>IF('📇 INVENTARIO'!N124="","",'📇 INVENTARIO'!N124)</f>
        <v>1426</v>
      </c>
      <c r="Y124" s="67">
        <f>IF($C124="","",W124*X124*'⚙️ SUPUESTOS'!$C$7)</f>
        <v>73253.905200000008</v>
      </c>
      <c r="Z124" s="65">
        <f>IF($C124="","",W124*'⚙️ SUPUESTOS'!$C$10)</f>
        <v>76199.13</v>
      </c>
      <c r="AA124" s="65">
        <f>IF($C124="","",Y124*('⚙️ SUPUESTOS'!$C$12*'⚙️ SUPUESTOS'!$C$11+(1-'⚙️ SUPUESTOS'!$C$12)*'⚙️ SUPUESTOS'!$C$13))</f>
        <v>4995.916334640001</v>
      </c>
      <c r="AB124" s="65">
        <f>IF($C124="","",IF(Y124&gt;0,ROUND(Y124*'⚙️ SUPUESTOS'!$C$12*'⚙️ SUPUESTOS'!$C$11,0),""))</f>
        <v>1831</v>
      </c>
      <c r="AC124" s="65">
        <f>IF($C124="","",IF(Y124&gt;0,ROUND(Y124*(1-'⚙️ SUPUESTOS'!$C$12)*'⚙️ SUPUESTOS'!$C$13,0),""))</f>
        <v>3165</v>
      </c>
      <c r="AD124" s="76">
        <f t="shared" si="6"/>
        <v>48699</v>
      </c>
      <c r="AE124" s="75">
        <f t="shared" si="7"/>
        <v>15.252283043985527</v>
      </c>
      <c r="AF124" s="70" t="str">
        <f>IF($C124="","",IF(AE124="","—",IF(AE124&lt;='⚙️ SUPUESTOS'!$C$32,"✔ Muy recomendable",IF(AE124&lt;='⚙️ SUPUESTOS'!$C$33,"✔ Recomendable","Valorar"))))</f>
        <v>✔ Recomendable</v>
      </c>
      <c r="AG124" s="79">
        <f>IF('📇 INVENTARIO'!O125="","",'📇 INVENTARIO'!O125)</f>
        <v>41.646979999999999</v>
      </c>
      <c r="AH124" s="79">
        <f>IF('📇 INVENTARIO'!P125="","",'📇 INVENTARIO'!P125)</f>
        <v>-4.7083300000000001</v>
      </c>
    </row>
    <row r="125" spans="1:34" ht="45" customHeight="1">
      <c r="A125" s="69">
        <f>IF($C125="","",RANK(O125,$O$3:$O$265,0)+COUNTIF($O$3:O125,O125)-1)</f>
        <v>123</v>
      </c>
      <c r="B125" s="70" t="str">
        <f>IF($C125="","",IF(A125&lt;='⚙️ SUPUESTOS'!$C$29,"Fase 1",IF(A125&lt;='⚙️ SUPUESTOS'!$C$30,"Fase 2","Fase 3")))</f>
        <v>Fase 2</v>
      </c>
      <c r="C125" s="71" t="str">
        <f>IF('📇 INVENTARIO'!B123="","",'📇 INVENTARIO'!B123)</f>
        <v>C/ Cisne, 1</v>
      </c>
      <c r="D125" s="70" t="str">
        <f>IF('📇 INVENTARIO'!C123="","",'📇 INVENTARIO'!C123)</f>
        <v>7825705UM5172F</v>
      </c>
      <c r="E125" s="70" t="str">
        <f>IF('📇 INVENTARIO'!D123="","",'📇 INVENTARIO'!D123)</f>
        <v>4718606023</v>
      </c>
      <c r="F125" s="70" t="str">
        <f>IF('📇 INVENTARIO'!F123="","",'📇 INVENTARIO'!F123)</f>
        <v>E</v>
      </c>
      <c r="G125" s="72">
        <f>IF('📇 INVENTARIO'!G123="","",'📇 INVENTARIO'!G123)</f>
        <v>191</v>
      </c>
      <c r="H125" s="72">
        <f>IF('📇 INVENTARIO'!H123="","",'📇 INVENTARIO'!H123)</f>
        <v>40</v>
      </c>
      <c r="I125" s="72">
        <f>IF('📇 INVENTARIO'!I123="","",'📇 INVENTARIO'!I123)</f>
        <v>105.7</v>
      </c>
      <c r="J125" s="72">
        <f>IF('📇 INVENTARIO'!J123="","",'📇 INVENTARIO'!J123)</f>
        <v>1967</v>
      </c>
      <c r="K125" s="73">
        <f>IF($C125="","",(G125-'⚙️ SUPUESTOS'!$C$20)/('⚙️ SUPUESTOS'!$C$25-'⚙️ SUPUESTOS'!$C$20))</f>
        <v>8.2616179001721177E-2</v>
      </c>
      <c r="L125" s="73">
        <f>IF($C125="","",VLOOKUP($E125,'📊 SECCIONES'!$B$4:$S$9,16,FALSE()))</f>
        <v>0.54128061278831963</v>
      </c>
      <c r="M125" s="73">
        <f>IF($C125="","",VLOOKUP($E125,'📊 SECCIONES'!$B$4:$S$9,17,FALSE()))</f>
        <v>0.59585492227979275</v>
      </c>
      <c r="N125" s="73">
        <f>IF($C125="","",VLOOKUP($E125,'📊 SECCIONES'!$B$4:$S$9,18,FALSE()))</f>
        <v>0.28636363636363632</v>
      </c>
      <c r="O125" s="74">
        <f>IF($C125="","",ROUND('⚙️ SUPUESTOS'!$C$21*K125+'⚙️ SUPUESTOS'!$C$22*L125+'⚙️ SUPUESTOS'!$C$23*M125+'⚙️ SUPUESTOS'!$C$24*N125,4))</f>
        <v>0.2737</v>
      </c>
      <c r="P125" s="75">
        <f>IF($C125="","",VLOOKUP($E125,'📊 SECCIONES'!$B$4:$S$9,7,FALSE()))</f>
        <v>39.409999999999997</v>
      </c>
      <c r="Q125" s="76">
        <f>IF($C125="","",VLOOKUP($E125,'📊 SECCIONES'!$B$4:$S$9,8,FALSE()))</f>
        <v>22486</v>
      </c>
      <c r="R125" s="75">
        <f>IF($C125="","",VLOOKUP($E125,'📊 SECCIONES'!$B$4:$S$9,10,FALSE()))</f>
        <v>16.899999999999999</v>
      </c>
      <c r="S125" s="72">
        <f>IF('📇 INVENTARIO'!K123="","",'📇 INVENTARIO'!K123)</f>
        <v>5</v>
      </c>
      <c r="T125" s="77" t="str">
        <f t="shared" si="4"/>
        <v>Objetivo: alcanzar calificación C. Actual: Cal.E. SATE fachada + carpinterías doble + instalación fotovoltaica</v>
      </c>
      <c r="U125" s="70" t="str">
        <f t="shared" si="5"/>
        <v>Valorar ascensor (verificar)</v>
      </c>
      <c r="V125" s="78">
        <f>IF('📇 INVENTARIO'!L123="","",'📇 INVENTARIO'!L123)</f>
        <v>509.1</v>
      </c>
      <c r="W125" s="75">
        <f>IF($C125="","",V125*'⚙️ SUPUESTOS'!$C$8*'⚙️ SUPUESTOS'!$C$9)</f>
        <v>106.911</v>
      </c>
      <c r="X125" s="78">
        <f>IF('📇 INVENTARIO'!N123="","",'📇 INVENTARIO'!N123)</f>
        <v>1506</v>
      </c>
      <c r="Y125" s="78">
        <f>IF($C125="","",W125*X125*'⚙️ SUPUESTOS'!$C$7)</f>
        <v>144907.16940000001</v>
      </c>
      <c r="Z125" s="76">
        <f>IF($C125="","",W125*'⚙️ SUPUESTOS'!$C$10)</f>
        <v>142726.185</v>
      </c>
      <c r="AA125" s="76">
        <f>IF($C125="","",Y125*('⚙️ SUPUESTOS'!$C$12*'⚙️ SUPUESTOS'!$C$11+(1-'⚙️ SUPUESTOS'!$C$12)*'⚙️ SUPUESTOS'!$C$13))</f>
        <v>9882.6689530800031</v>
      </c>
      <c r="AB125" s="76">
        <f>IF($C125="","",IF(Y125&gt;0,ROUND(Y125*'⚙️ SUPUESTOS'!$C$12*'⚙️ SUPUESTOS'!$C$11,0),""))</f>
        <v>3623</v>
      </c>
      <c r="AC125" s="76">
        <f>IF($C125="","",IF(Y125&gt;0,ROUND(Y125*(1-'⚙️ SUPUESTOS'!$C$12)*'⚙️ SUPUESTOS'!$C$13,0),""))</f>
        <v>6260</v>
      </c>
      <c r="AD125" s="65">
        <f t="shared" si="6"/>
        <v>104341</v>
      </c>
      <c r="AE125" s="64">
        <f t="shared" si="7"/>
        <v>14.442068805261192</v>
      </c>
      <c r="AF125" s="59" t="str">
        <f>IF($C125="","",IF(AE125="","—",IF(AE125&lt;='⚙️ SUPUESTOS'!$C$32,"✔ Muy recomendable",IF(AE125&lt;='⚙️ SUPUESTOS'!$C$33,"✔ Recomendable","Valorar"))))</f>
        <v>✔ Muy recomendable</v>
      </c>
      <c r="AG125" s="68">
        <f>IF('📇 INVENTARIO'!O126="","",'📇 INVENTARIO'!O126)</f>
        <v>41.648879999999998</v>
      </c>
      <c r="AH125" s="68">
        <f>IF('📇 INVENTARIO'!P126="","",'📇 INVENTARIO'!P126)</f>
        <v>-4.7079300000000002</v>
      </c>
    </row>
    <row r="126" spans="1:34" ht="45" customHeight="1">
      <c r="A126" s="69">
        <f>IF($C126="","",RANK(O126,$O$3:$O$265,0)+COUNTIF($O$3:O126,O126)-1)</f>
        <v>124</v>
      </c>
      <c r="B126" s="70" t="str">
        <f>IF($C126="","",IF(A126&lt;='⚙️ SUPUESTOS'!$C$29,"Fase 1",IF(A126&lt;='⚙️ SUPUESTOS'!$C$30,"Fase 2","Fase 3")))</f>
        <v>Fase 2</v>
      </c>
      <c r="C126" s="71" t="str">
        <f>IF('📇 INVENTARIO'!B129="","",'📇 INVENTARIO'!B129)</f>
        <v>C/ Faisán, 10</v>
      </c>
      <c r="D126" s="70" t="str">
        <f>IF('📇 INVENTARIO'!C129="","",'📇 INVENTARIO'!C129)</f>
        <v>7723701UM5172D</v>
      </c>
      <c r="E126" s="70" t="str">
        <f>IF('📇 INVENTARIO'!D129="","",'📇 INVENTARIO'!D129)</f>
        <v>4718606027</v>
      </c>
      <c r="F126" s="70" t="str">
        <f>IF('📇 INVENTARIO'!F129="","",'📇 INVENTARIO'!F129)</f>
        <v>D</v>
      </c>
      <c r="G126" s="72">
        <f>IF('📇 INVENTARIO'!G129="","",'📇 INVENTARIO'!G129)</f>
        <v>250</v>
      </c>
      <c r="H126" s="72">
        <f>IF('📇 INVENTARIO'!H129="","",'📇 INVENTARIO'!H129)</f>
        <v>53</v>
      </c>
      <c r="I126" s="72">
        <f>IF('📇 INVENTARIO'!I129="","",'📇 INVENTARIO'!I129)</f>
        <v>123.6</v>
      </c>
      <c r="J126" s="72">
        <f>IF('📇 INVENTARIO'!J129="","",'📇 INVENTARIO'!J129)</f>
        <v>1963</v>
      </c>
      <c r="K126" s="73">
        <f>IF($C126="","",(G126-'⚙️ SUPUESTOS'!$C$20)/('⚙️ SUPUESTOS'!$C$25-'⚙️ SUPUESTOS'!$C$20))</f>
        <v>0.18416523235800344</v>
      </c>
      <c r="L126" s="73">
        <f>IF($C126="","",VLOOKUP($E126,'📊 SECCIONES'!$B$4:$S$9,16,FALSE()))</f>
        <v>0.19481959841367916</v>
      </c>
      <c r="M126" s="73">
        <f>IF($C126="","",VLOOKUP($E126,'📊 SECCIONES'!$B$4:$S$9,17,FALSE()))</f>
        <v>0.2663212435233161</v>
      </c>
      <c r="N126" s="73">
        <f>IF($C126="","",VLOOKUP($E126,'📊 SECCIONES'!$B$4:$S$9,18,FALSE()))</f>
        <v>1</v>
      </c>
      <c r="O126" s="74">
        <f>IF($C126="","",ROUND('⚙️ SUPUESTOS'!$C$21*K126+'⚙️ SUPUESTOS'!$C$22*L126+'⚙️ SUPUESTOS'!$C$23*M126+'⚙️ SUPUESTOS'!$C$24*N126,4))</f>
        <v>0.27139999999999997</v>
      </c>
      <c r="P126" s="75">
        <f>IF($C126="","",VLOOKUP($E126,'📊 SECCIONES'!$B$4:$S$9,7,FALSE()))</f>
        <v>24.5</v>
      </c>
      <c r="Q126" s="76">
        <f>IF($C126="","",VLOOKUP($E126,'📊 SECCIONES'!$B$4:$S$9,8,FALSE()))</f>
        <v>25206</v>
      </c>
      <c r="R126" s="75">
        <f>IF($C126="","",VLOOKUP($E126,'📊 SECCIONES'!$B$4:$S$9,10,FALSE()))</f>
        <v>32.6</v>
      </c>
      <c r="S126" s="72">
        <f>IF('📇 INVENTARIO'!K129="","",'📇 INVENTARIO'!K129)</f>
        <v>5</v>
      </c>
      <c r="T126" s="77" t="str">
        <f t="shared" si="4"/>
        <v>Objetivo: alcanzar calificación C. Actual: Cal.D. Mantenimiento de envolvente + instalación fotovoltaica en cubierta</v>
      </c>
      <c r="U126" s="70" t="str">
        <f t="shared" si="5"/>
        <v>Valorar ascensor (verificar)</v>
      </c>
      <c r="V126" s="78">
        <f>IF('📇 INVENTARIO'!L129="","",'📇 INVENTARIO'!L129)</f>
        <v>157</v>
      </c>
      <c r="W126" s="75">
        <f>IF($C126="","",V126*'⚙️ SUPUESTOS'!$C$8*'⚙️ SUPUESTOS'!$C$9)</f>
        <v>32.97</v>
      </c>
      <c r="X126" s="78">
        <f>IF('📇 INVENTARIO'!N129="","",'📇 INVENTARIO'!N129)</f>
        <v>1464</v>
      </c>
      <c r="Y126" s="78">
        <f>IF($C126="","",W126*X126*'⚙️ SUPUESTOS'!$C$7)</f>
        <v>43441.272000000004</v>
      </c>
      <c r="Z126" s="76">
        <f>IF($C126="","",W126*'⚙️ SUPUESTOS'!$C$10)</f>
        <v>44014.95</v>
      </c>
      <c r="AA126" s="76">
        <f>IF($C126="","",Y126*('⚙️ SUPUESTOS'!$C$12*'⚙️ SUPUESTOS'!$C$11+(1-'⚙️ SUPUESTOS'!$C$12)*'⚙️ SUPUESTOS'!$C$13))</f>
        <v>2962.6947504000009</v>
      </c>
      <c r="AB126" s="76">
        <f>IF($C126="","",IF(Y126&gt;0,ROUND(Y126*'⚙️ SUPUESTOS'!$C$12*'⚙️ SUPUESTOS'!$C$11,0),""))</f>
        <v>1086</v>
      </c>
      <c r="AC126" s="76">
        <f>IF($C126="","",IF(Y126&gt;0,ROUND(Y126*(1-'⚙️ SUPUESTOS'!$C$12)*'⚙️ SUPUESTOS'!$C$13,0),""))</f>
        <v>1877</v>
      </c>
      <c r="AD126" s="76">
        <f t="shared" si="6"/>
        <v>30052</v>
      </c>
      <c r="AE126" s="75">
        <f t="shared" si="7"/>
        <v>14.856390451313766</v>
      </c>
      <c r="AF126" s="70" t="str">
        <f>IF($C126="","",IF(AE126="","—",IF(AE126&lt;='⚙️ SUPUESTOS'!$C$32,"✔ Muy recomendable",IF(AE126&lt;='⚙️ SUPUESTOS'!$C$33,"✔ Recomendable","Valorar"))))</f>
        <v>✔ Muy recomendable</v>
      </c>
      <c r="AG126" s="79">
        <f>IF('📇 INVENTARIO'!O127="","",'📇 INVENTARIO'!O127)</f>
        <v>41.650674000000002</v>
      </c>
      <c r="AH126" s="79">
        <f>IF('📇 INVENTARIO'!P127="","",'📇 INVENTARIO'!P127)</f>
        <v>-4.7084429999999999</v>
      </c>
    </row>
    <row r="127" spans="1:34" ht="45" customHeight="1">
      <c r="A127" s="58">
        <f>IF($C127="","",RANK(O127,$O$3:$O$265,0)+COUNTIF($O$3:O127,O127)-1)</f>
        <v>125</v>
      </c>
      <c r="B127" s="59" t="str">
        <f>IF($C127="","",IF(A127&lt;='⚙️ SUPUESTOS'!$C$29,"Fase 1",IF(A127&lt;='⚙️ SUPUESTOS'!$C$30,"Fase 2","Fase 3")))</f>
        <v>Fase 2</v>
      </c>
      <c r="C127" s="60" t="str">
        <f>IF('📇 INVENTARIO'!B130="","",'📇 INVENTARIO'!B130)</f>
        <v>C/ Pavo Real, 4</v>
      </c>
      <c r="D127" s="59" t="str">
        <f>IF('📇 INVENTARIO'!C130="","",'📇 INVENTARIO'!C130)</f>
        <v>7623002UM5172D</v>
      </c>
      <c r="E127" s="59" t="str">
        <f>IF('📇 INVENTARIO'!D130="","",'📇 INVENTARIO'!D130)</f>
        <v>4718606027</v>
      </c>
      <c r="F127" s="59" t="str">
        <f>IF('📇 INVENTARIO'!F130="","",'📇 INVENTARIO'!F130)</f>
        <v>E</v>
      </c>
      <c r="G127" s="61">
        <f>IF('📇 INVENTARIO'!G130="","",'📇 INVENTARIO'!G130)</f>
        <v>250</v>
      </c>
      <c r="H127" s="61">
        <f>IF('📇 INVENTARIO'!H130="","",'📇 INVENTARIO'!H130)</f>
        <v>53</v>
      </c>
      <c r="I127" s="61">
        <f>IF('📇 INVENTARIO'!I130="","",'📇 INVENTARIO'!I130)</f>
        <v>113.8</v>
      </c>
      <c r="J127" s="61">
        <f>IF('📇 INVENTARIO'!J130="","",'📇 INVENTARIO'!J130)</f>
        <v>1969</v>
      </c>
      <c r="K127" s="62">
        <f>IF($C127="","",(G127-'⚙️ SUPUESTOS'!$C$20)/('⚙️ SUPUESTOS'!$C$25-'⚙️ SUPUESTOS'!$C$20))</f>
        <v>0.18416523235800344</v>
      </c>
      <c r="L127" s="62">
        <f>IF($C127="","",VLOOKUP($E127,'📊 SECCIONES'!$B$4:$S$9,16,FALSE()))</f>
        <v>0.19481959841367916</v>
      </c>
      <c r="M127" s="62">
        <f>IF($C127="","",VLOOKUP($E127,'📊 SECCIONES'!$B$4:$S$9,17,FALSE()))</f>
        <v>0.2663212435233161</v>
      </c>
      <c r="N127" s="62">
        <f>IF($C127="","",VLOOKUP($E127,'📊 SECCIONES'!$B$4:$S$9,18,FALSE()))</f>
        <v>1</v>
      </c>
      <c r="O127" s="63">
        <f>IF($C127="","",ROUND('⚙️ SUPUESTOS'!$C$21*K127+'⚙️ SUPUESTOS'!$C$22*L127+'⚙️ SUPUESTOS'!$C$23*M127+'⚙️ SUPUESTOS'!$C$24*N127,4))</f>
        <v>0.27139999999999997</v>
      </c>
      <c r="P127" s="64">
        <f>IF($C127="","",VLOOKUP($E127,'📊 SECCIONES'!$B$4:$S$9,7,FALSE()))</f>
        <v>24.5</v>
      </c>
      <c r="Q127" s="65">
        <f>IF($C127="","",VLOOKUP($E127,'📊 SECCIONES'!$B$4:$S$9,8,FALSE()))</f>
        <v>25206</v>
      </c>
      <c r="R127" s="64">
        <f>IF($C127="","",VLOOKUP($E127,'📊 SECCIONES'!$B$4:$S$9,10,FALSE()))</f>
        <v>32.6</v>
      </c>
      <c r="S127" s="61">
        <f>IF('📇 INVENTARIO'!K130="","",'📇 INVENTARIO'!K130)</f>
        <v>6</v>
      </c>
      <c r="T127" s="66" t="str">
        <f t="shared" si="4"/>
        <v>Objetivo: alcanzar calificación C. Actual: Cal.E. SATE fachada + carpinterías doble + instalación fotovoltaica</v>
      </c>
      <c r="U127" s="59" t="str">
        <f t="shared" si="5"/>
        <v>Valorar ascensor (verificar)</v>
      </c>
      <c r="V127" s="67">
        <f>IF('📇 INVENTARIO'!L130="","",'📇 INVENTARIO'!L130)</f>
        <v>298.8</v>
      </c>
      <c r="W127" s="64">
        <f>IF($C127="","",V127*'⚙️ SUPUESTOS'!$C$8*'⚙️ SUPUESTOS'!$C$9)</f>
        <v>62.747999999999998</v>
      </c>
      <c r="X127" s="67">
        <f>IF('📇 INVENTARIO'!N130="","",'📇 INVENTARIO'!N130)</f>
        <v>1470</v>
      </c>
      <c r="Y127" s="67">
        <f>IF($C127="","",W127*X127*'⚙️ SUPUESTOS'!$C$7)</f>
        <v>83015.604000000007</v>
      </c>
      <c r="Z127" s="65">
        <f>IF($C127="","",W127*'⚙️ SUPUESTOS'!$C$10)</f>
        <v>83768.58</v>
      </c>
      <c r="AA127" s="65">
        <f>IF($C127="","",Y127*('⚙️ SUPUESTOS'!$C$12*'⚙️ SUPUESTOS'!$C$11+(1-'⚙️ SUPUESTOS'!$C$12)*'⚙️ SUPUESTOS'!$C$13))</f>
        <v>5661.6641928000017</v>
      </c>
      <c r="AB127" s="65">
        <f>IF($C127="","",IF(Y127&gt;0,ROUND(Y127*'⚙️ SUPUESTOS'!$C$12*'⚙️ SUPUESTOS'!$C$11,0),""))</f>
        <v>2075</v>
      </c>
      <c r="AC127" s="65">
        <f>IF($C127="","",IF(Y127&gt;0,ROUND(Y127*(1-'⚙️ SUPUESTOS'!$C$12)*'⚙️ SUPUESTOS'!$C$13,0),""))</f>
        <v>3586</v>
      </c>
      <c r="AD127" s="65">
        <f t="shared" si="6"/>
        <v>57773</v>
      </c>
      <c r="AE127" s="64">
        <f t="shared" si="7"/>
        <v>14.795752122941058</v>
      </c>
      <c r="AF127" s="59" t="str">
        <f>IF($C127="","",IF(AE127="","—",IF(AE127&lt;='⚙️ SUPUESTOS'!$C$32,"✔ Muy recomendable",IF(AE127&lt;='⚙️ SUPUESTOS'!$C$33,"✔ Recomendable","Valorar"))))</f>
        <v>✔ Muy recomendable</v>
      </c>
      <c r="AG127" s="68">
        <f>IF('📇 INVENTARIO'!O128="","",'📇 INVENTARIO'!O128)</f>
        <v>41.650069999999999</v>
      </c>
      <c r="AH127" s="68">
        <f>IF('📇 INVENTARIO'!P128="","",'📇 INVENTARIO'!P128)</f>
        <v>-4.7090899999999998</v>
      </c>
    </row>
    <row r="128" spans="1:34" ht="45" customHeight="1">
      <c r="A128" s="69">
        <f>IF($C128="","",RANK(O128,$O$3:$O$265,0)+COUNTIF($O$3:O128,O128)-1)</f>
        <v>126</v>
      </c>
      <c r="B128" s="70" t="str">
        <f>IF($C128="","",IF(A128&lt;='⚙️ SUPUESTOS'!$C$29,"Fase 1",IF(A128&lt;='⚙️ SUPUESTOS'!$C$30,"Fase 2","Fase 3")))</f>
        <v>Fase 2</v>
      </c>
      <c r="C128" s="71" t="str">
        <f>IF('📇 INVENTARIO'!B131="","",'📇 INVENTARIO'!B131)</f>
        <v>C/ Pavo Real, 6</v>
      </c>
      <c r="D128" s="70" t="str">
        <f>IF('📇 INVENTARIO'!C131="","",'📇 INVENTARIO'!C131)</f>
        <v>7623002UM5172D</v>
      </c>
      <c r="E128" s="70" t="str">
        <f>IF('📇 INVENTARIO'!D131="","",'📇 INVENTARIO'!D131)</f>
        <v>4718606027</v>
      </c>
      <c r="F128" s="70" t="str">
        <f>IF('📇 INVENTARIO'!F131="","",'📇 INVENTARIO'!F131)</f>
        <v>E</v>
      </c>
      <c r="G128" s="72">
        <f>IF('📇 INVENTARIO'!G131="","",'📇 INVENTARIO'!G131)</f>
        <v>250</v>
      </c>
      <c r="H128" s="72">
        <f>IF('📇 INVENTARIO'!H131="","",'📇 INVENTARIO'!H131)</f>
        <v>53</v>
      </c>
      <c r="I128" s="72">
        <f>IF('📇 INVENTARIO'!I131="","",'📇 INVENTARIO'!I131)</f>
        <v>108.6</v>
      </c>
      <c r="J128" s="72">
        <f>IF('📇 INVENTARIO'!J131="","",'📇 INVENTARIO'!J131)</f>
        <v>1969</v>
      </c>
      <c r="K128" s="73">
        <f>IF($C128="","",(G128-'⚙️ SUPUESTOS'!$C$20)/('⚙️ SUPUESTOS'!$C$25-'⚙️ SUPUESTOS'!$C$20))</f>
        <v>0.18416523235800344</v>
      </c>
      <c r="L128" s="73">
        <f>IF($C128="","",VLOOKUP($E128,'📊 SECCIONES'!$B$4:$S$9,16,FALSE()))</f>
        <v>0.19481959841367916</v>
      </c>
      <c r="M128" s="73">
        <f>IF($C128="","",VLOOKUP($E128,'📊 SECCIONES'!$B$4:$S$9,17,FALSE()))</f>
        <v>0.2663212435233161</v>
      </c>
      <c r="N128" s="73">
        <f>IF($C128="","",VLOOKUP($E128,'📊 SECCIONES'!$B$4:$S$9,18,FALSE()))</f>
        <v>1</v>
      </c>
      <c r="O128" s="74">
        <f>IF($C128="","",ROUND('⚙️ SUPUESTOS'!$C$21*K128+'⚙️ SUPUESTOS'!$C$22*L128+'⚙️ SUPUESTOS'!$C$23*M128+'⚙️ SUPUESTOS'!$C$24*N128,4))</f>
        <v>0.27139999999999997</v>
      </c>
      <c r="P128" s="75">
        <f>IF($C128="","",VLOOKUP($E128,'📊 SECCIONES'!$B$4:$S$9,7,FALSE()))</f>
        <v>24.5</v>
      </c>
      <c r="Q128" s="76">
        <f>IF($C128="","",VLOOKUP($E128,'📊 SECCIONES'!$B$4:$S$9,8,FALSE()))</f>
        <v>25206</v>
      </c>
      <c r="R128" s="75">
        <f>IF($C128="","",VLOOKUP($E128,'📊 SECCIONES'!$B$4:$S$9,10,FALSE()))</f>
        <v>32.6</v>
      </c>
      <c r="S128" s="72">
        <f>IF('📇 INVENTARIO'!K131="","",'📇 INVENTARIO'!K131)</f>
        <v>6</v>
      </c>
      <c r="T128" s="77" t="str">
        <f t="shared" si="4"/>
        <v>Objetivo: alcanzar calificación C. Actual: Cal.E. SATE fachada + carpinterías doble + instalación fotovoltaica</v>
      </c>
      <c r="U128" s="70" t="str">
        <f t="shared" si="5"/>
        <v>Valorar ascensor (verificar)</v>
      </c>
      <c r="V128" s="78">
        <f>IF('📇 INVENTARIO'!L131="","",'📇 INVENTARIO'!L131)</f>
        <v>298.8</v>
      </c>
      <c r="W128" s="75">
        <f>IF($C128="","",V128*'⚙️ SUPUESTOS'!$C$8*'⚙️ SUPUESTOS'!$C$9)</f>
        <v>62.747999999999998</v>
      </c>
      <c r="X128" s="78">
        <f>IF('📇 INVENTARIO'!N131="","",'📇 INVENTARIO'!N131)</f>
        <v>1470</v>
      </c>
      <c r="Y128" s="78">
        <f>IF($C128="","",W128*X128*'⚙️ SUPUESTOS'!$C$7)</f>
        <v>83015.604000000007</v>
      </c>
      <c r="Z128" s="76">
        <f>IF($C128="","",W128*'⚙️ SUPUESTOS'!$C$10)</f>
        <v>83768.58</v>
      </c>
      <c r="AA128" s="76">
        <f>IF($C128="","",Y128*('⚙️ SUPUESTOS'!$C$12*'⚙️ SUPUESTOS'!$C$11+(1-'⚙️ SUPUESTOS'!$C$12)*'⚙️ SUPUESTOS'!$C$13))</f>
        <v>5661.6641928000017</v>
      </c>
      <c r="AB128" s="76">
        <f>IF($C128="","",IF(Y128&gt;0,ROUND(Y128*'⚙️ SUPUESTOS'!$C$12*'⚙️ SUPUESTOS'!$C$11,0),""))</f>
        <v>2075</v>
      </c>
      <c r="AC128" s="76">
        <f>IF($C128="","",IF(Y128&gt;0,ROUND(Y128*(1-'⚙️ SUPUESTOS'!$C$12)*'⚙️ SUPUESTOS'!$C$13,0),""))</f>
        <v>3586</v>
      </c>
      <c r="AD128" s="76">
        <f t="shared" si="6"/>
        <v>57773</v>
      </c>
      <c r="AE128" s="75">
        <f t="shared" si="7"/>
        <v>14.795752122941058</v>
      </c>
      <c r="AF128" s="70" t="str">
        <f>IF($C128="","",IF(AE128="","—",IF(AE128&lt;='⚙️ SUPUESTOS'!$C$32,"✔ Muy recomendable",IF(AE128&lt;='⚙️ SUPUESTOS'!$C$33,"✔ Recomendable","Valorar"))))</f>
        <v>✔ Muy recomendable</v>
      </c>
      <c r="AG128" s="79">
        <f>IF('📇 INVENTARIO'!O129="","",'📇 INVENTARIO'!O129)</f>
        <v>41.648319999999998</v>
      </c>
      <c r="AH128" s="79">
        <f>IF('📇 INVENTARIO'!P129="","",'📇 INVENTARIO'!P129)</f>
        <v>-4.7098599999999999</v>
      </c>
    </row>
    <row r="129" spans="1:34" ht="45" customHeight="1">
      <c r="A129" s="69">
        <f>IF($C129="","",RANK(O129,$O$3:$O$265,0)+COUNTIF($O$3:O129,O129)-1)</f>
        <v>127</v>
      </c>
      <c r="B129" s="70" t="str">
        <f>IF($C129="","",IF(A129&lt;='⚙️ SUPUESTOS'!$C$29,"Fase 1",IF(A129&lt;='⚙️ SUPUESTOS'!$C$30,"Fase 2","Fase 3")))</f>
        <v>Fase 2</v>
      </c>
      <c r="C129" s="71" t="str">
        <f>IF('📇 INVENTARIO'!B127="","",'📇 INVENTARIO'!B127)</f>
        <v>C/ Cisne, 6</v>
      </c>
      <c r="D129" s="70" t="str">
        <f>IF('📇 INVENTARIO'!C127="","",'📇 INVENTARIO'!C127)</f>
        <v>7926601UM5172F</v>
      </c>
      <c r="E129" s="70" t="str">
        <f>IF('📇 INVENTARIO'!D127="","",'📇 INVENTARIO'!D127)</f>
        <v>4718606023</v>
      </c>
      <c r="F129" s="70" t="str">
        <f>IF('📇 INVENTARIO'!F127="","",'📇 INVENTARIO'!F127)</f>
        <v>E</v>
      </c>
      <c r="G129" s="72">
        <f>IF('📇 INVENTARIO'!G127="","",'📇 INVENTARIO'!G127)</f>
        <v>188</v>
      </c>
      <c r="H129" s="72">
        <f>IF('📇 INVENTARIO'!H127="","",'📇 INVENTARIO'!H127)</f>
        <v>39</v>
      </c>
      <c r="I129" s="72">
        <f>IF('📇 INVENTARIO'!I127="","",'📇 INVENTARIO'!I127)</f>
        <v>87.2</v>
      </c>
      <c r="J129" s="72">
        <f>IF('📇 INVENTARIO'!J127="","",'📇 INVENTARIO'!J127)</f>
        <v>1971</v>
      </c>
      <c r="K129" s="73">
        <f>IF($C129="","",(G129-'⚙️ SUPUESTOS'!$C$20)/('⚙️ SUPUESTOS'!$C$25-'⚙️ SUPUESTOS'!$C$20))</f>
        <v>7.7452667814113599E-2</v>
      </c>
      <c r="L129" s="73">
        <f>IF($C129="","",VLOOKUP($E129,'📊 SECCIONES'!$B$4:$S$9,16,FALSE()))</f>
        <v>0.54128061278831963</v>
      </c>
      <c r="M129" s="73">
        <f>IF($C129="","",VLOOKUP($E129,'📊 SECCIONES'!$B$4:$S$9,17,FALSE()))</f>
        <v>0.59585492227979275</v>
      </c>
      <c r="N129" s="73">
        <f>IF($C129="","",VLOOKUP($E129,'📊 SECCIONES'!$B$4:$S$9,18,FALSE()))</f>
        <v>0.28636363636363632</v>
      </c>
      <c r="O129" s="74">
        <f>IF($C129="","",ROUND('⚙️ SUPUESTOS'!$C$21*K129+'⚙️ SUPUESTOS'!$C$22*L129+'⚙️ SUPUESTOS'!$C$23*M129+'⚙️ SUPUESTOS'!$C$24*N129,4))</f>
        <v>0.27089999999999997</v>
      </c>
      <c r="P129" s="75">
        <f>IF($C129="","",VLOOKUP($E129,'📊 SECCIONES'!$B$4:$S$9,7,FALSE()))</f>
        <v>39.409999999999997</v>
      </c>
      <c r="Q129" s="76">
        <f>IF($C129="","",VLOOKUP($E129,'📊 SECCIONES'!$B$4:$S$9,8,FALSE()))</f>
        <v>22486</v>
      </c>
      <c r="R129" s="75">
        <f>IF($C129="","",VLOOKUP($E129,'📊 SECCIONES'!$B$4:$S$9,10,FALSE()))</f>
        <v>16.899999999999999</v>
      </c>
      <c r="S129" s="72">
        <f>IF('📇 INVENTARIO'!K127="","",'📇 INVENTARIO'!K127)</f>
        <v>6</v>
      </c>
      <c r="T129" s="77" t="str">
        <f t="shared" si="4"/>
        <v>Objetivo: alcanzar calificación C. Actual: Cal.E. SATE fachada + carpinterías doble + instalación fotovoltaica</v>
      </c>
      <c r="U129" s="70" t="str">
        <f t="shared" si="5"/>
        <v>Valorar ascensor (verificar)</v>
      </c>
      <c r="V129" s="78">
        <f>IF('📇 INVENTARIO'!L127="","",'📇 INVENTARIO'!L127)</f>
        <v>482.4</v>
      </c>
      <c r="W129" s="75">
        <f>IF($C129="","",V129*'⚙️ SUPUESTOS'!$C$8*'⚙️ SUPUESTOS'!$C$9)</f>
        <v>101.30399999999999</v>
      </c>
      <c r="X129" s="78">
        <f>IF('📇 INVENTARIO'!N127="","",'📇 INVENTARIO'!N127)</f>
        <v>1451</v>
      </c>
      <c r="Y129" s="78">
        <f>IF($C129="","",W129*X129*'⚙️ SUPUESTOS'!$C$7)</f>
        <v>132292.89360000001</v>
      </c>
      <c r="Z129" s="76">
        <f>IF($C129="","",W129*'⚙️ SUPUESTOS'!$C$10)</f>
        <v>135240.84</v>
      </c>
      <c r="AA129" s="76">
        <f>IF($C129="","",Y129*('⚙️ SUPUESTOS'!$C$12*'⚙️ SUPUESTOS'!$C$11+(1-'⚙️ SUPUESTOS'!$C$12)*'⚙️ SUPUESTOS'!$C$13))</f>
        <v>9022.3753435200015</v>
      </c>
      <c r="AB129" s="76">
        <f>IF($C129="","",IF(Y129&gt;0,ROUND(Y129*'⚙️ SUPUESTOS'!$C$12*'⚙️ SUPUESTOS'!$C$11,0),""))</f>
        <v>3307</v>
      </c>
      <c r="AC129" s="76">
        <f>IF($C129="","",IF(Y129&gt;0,ROUND(Y129*(1-'⚙️ SUPUESTOS'!$C$12)*'⚙️ SUPUESTOS'!$C$13,0),""))</f>
        <v>5715</v>
      </c>
      <c r="AD129" s="65">
        <f t="shared" si="6"/>
        <v>90319</v>
      </c>
      <c r="AE129" s="64">
        <f t="shared" si="7"/>
        <v>14.989493880581225</v>
      </c>
      <c r="AF129" s="59" t="str">
        <f>IF($C129="","",IF(AE129="","—",IF(AE129&lt;='⚙️ SUPUESTOS'!$C$32,"✔ Muy recomendable",IF(AE129&lt;='⚙️ SUPUESTOS'!$C$33,"✔ Recomendable","Valorar"))))</f>
        <v>✔ Muy recomendable</v>
      </c>
      <c r="AG129" s="68">
        <f>IF('📇 INVENTARIO'!O130="","",'📇 INVENTARIO'!O130)</f>
        <v>41.647959999999998</v>
      </c>
      <c r="AH129" s="68">
        <f>IF('📇 INVENTARIO'!P130="","",'📇 INVENTARIO'!P130)</f>
        <v>-4.7115200000000002</v>
      </c>
    </row>
    <row r="130" spans="1:34" ht="45" customHeight="1">
      <c r="A130" s="58">
        <f>IF($C130="","",RANK(O130,$O$3:$O$265,0)+COUNTIF($O$3:O130,O130)-1)</f>
        <v>128</v>
      </c>
      <c r="B130" s="59" t="str">
        <f>IF($C130="","",IF(A130&lt;='⚙️ SUPUESTOS'!$C$29,"Fase 1",IF(A130&lt;='⚙️ SUPUESTOS'!$C$30,"Fase 2","Fase 3")))</f>
        <v>Fase 2</v>
      </c>
      <c r="C130" s="60" t="str">
        <f>IF('📇 INVENTARIO'!B132="","",'📇 INVENTARIO'!B132)</f>
        <v>C/ Pelícano, 11</v>
      </c>
      <c r="D130" s="59" t="str">
        <f>IF('📇 INVENTARIO'!C132="","",'📇 INVENTARIO'!C132)</f>
        <v>7723703UM5172D</v>
      </c>
      <c r="E130" s="59" t="str">
        <f>IF('📇 INVENTARIO'!D132="","",'📇 INVENTARIO'!D132)</f>
        <v>4718606027</v>
      </c>
      <c r="F130" s="59" t="str">
        <f>IF('📇 INVENTARIO'!F132="","",'📇 INVENTARIO'!F132)</f>
        <v>E</v>
      </c>
      <c r="G130" s="61">
        <f>IF('📇 INVENTARIO'!G132="","",'📇 INVENTARIO'!G132)</f>
        <v>249</v>
      </c>
      <c r="H130" s="61">
        <f>IF('📇 INVENTARIO'!H132="","",'📇 INVENTARIO'!H132)</f>
        <v>53</v>
      </c>
      <c r="I130" s="61">
        <f>IF('📇 INVENTARIO'!I132="","",'📇 INVENTARIO'!I132)</f>
        <v>140.9</v>
      </c>
      <c r="J130" s="61">
        <f>IF('📇 INVENTARIO'!J132="","",'📇 INVENTARIO'!J132)</f>
        <v>1969</v>
      </c>
      <c r="K130" s="62">
        <f>IF($C130="","",(G130-'⚙️ SUPUESTOS'!$C$20)/('⚙️ SUPUESTOS'!$C$25-'⚙️ SUPUESTOS'!$C$20))</f>
        <v>0.18244406196213425</v>
      </c>
      <c r="L130" s="62">
        <f>IF($C130="","",VLOOKUP($E130,'📊 SECCIONES'!$B$4:$S$9,16,FALSE()))</f>
        <v>0.19481959841367916</v>
      </c>
      <c r="M130" s="62">
        <f>IF($C130="","",VLOOKUP($E130,'📊 SECCIONES'!$B$4:$S$9,17,FALSE()))</f>
        <v>0.2663212435233161</v>
      </c>
      <c r="N130" s="62">
        <f>IF($C130="","",VLOOKUP($E130,'📊 SECCIONES'!$B$4:$S$9,18,FALSE()))</f>
        <v>1</v>
      </c>
      <c r="O130" s="63">
        <f>IF($C130="","",ROUND('⚙️ SUPUESTOS'!$C$21*K130+'⚙️ SUPUESTOS'!$C$22*L130+'⚙️ SUPUESTOS'!$C$23*M130+'⚙️ SUPUESTOS'!$C$24*N130,4))</f>
        <v>0.27050000000000002</v>
      </c>
      <c r="P130" s="64">
        <f>IF($C130="","",VLOOKUP($E130,'📊 SECCIONES'!$B$4:$S$9,7,FALSE()))</f>
        <v>24.5</v>
      </c>
      <c r="Q130" s="65">
        <f>IF($C130="","",VLOOKUP($E130,'📊 SECCIONES'!$B$4:$S$9,8,FALSE()))</f>
        <v>25206</v>
      </c>
      <c r="R130" s="64">
        <f>IF($C130="","",VLOOKUP($E130,'📊 SECCIONES'!$B$4:$S$9,10,FALSE()))</f>
        <v>32.6</v>
      </c>
      <c r="S130" s="61">
        <f>IF('📇 INVENTARIO'!K132="","",'📇 INVENTARIO'!K132)</f>
        <v>6</v>
      </c>
      <c r="T130" s="66" t="str">
        <f t="shared" si="4"/>
        <v>Objetivo: alcanzar calificación C. Actual: Cal.E. SATE fachada + carpinterías doble + instalación fotovoltaica</v>
      </c>
      <c r="U130" s="59" t="str">
        <f t="shared" si="5"/>
        <v>Valorar ascensor (verificar)</v>
      </c>
      <c r="V130" s="67">
        <f>IF('📇 INVENTARIO'!L132="","",'📇 INVENTARIO'!L132)</f>
        <v>991.2</v>
      </c>
      <c r="W130" s="64">
        <f>IF($C130="","",V130*'⚙️ SUPUESTOS'!$C$8*'⚙️ SUPUESTOS'!$C$9)</f>
        <v>208.15200000000002</v>
      </c>
      <c r="X130" s="67">
        <f>IF('📇 INVENTARIO'!N132="","",'📇 INVENTARIO'!N132)</f>
        <v>1438</v>
      </c>
      <c r="Y130" s="67">
        <f>IF($C130="","",W130*X130*'⚙️ SUPUESTOS'!$C$7)</f>
        <v>269390.31839999999</v>
      </c>
      <c r="Z130" s="65">
        <f>IF($C130="","",W130*'⚙️ SUPUESTOS'!$C$10)</f>
        <v>277882.92000000004</v>
      </c>
      <c r="AA130" s="65">
        <f>IF($C130="","",Y130*('⚙️ SUPUESTOS'!$C$12*'⚙️ SUPUESTOS'!$C$11+(1-'⚙️ SUPUESTOS'!$C$12)*'⚙️ SUPUESTOS'!$C$13))</f>
        <v>18372.419714880001</v>
      </c>
      <c r="AB130" s="65">
        <f>IF($C130="","",IF(Y130&gt;0,ROUND(Y130*'⚙️ SUPUESTOS'!$C$12*'⚙️ SUPUESTOS'!$C$11,0),""))</f>
        <v>6735</v>
      </c>
      <c r="AC130" s="65">
        <f>IF($C130="","",IF(Y130&gt;0,ROUND(Y130*(1-'⚙️ SUPUESTOS'!$C$12)*'⚙️ SUPUESTOS'!$C$13,0),""))</f>
        <v>11638</v>
      </c>
      <c r="AD130" s="76">
        <f t="shared" si="6"/>
        <v>181428</v>
      </c>
      <c r="AE130" s="75">
        <f t="shared" si="7"/>
        <v>15.125003908708877</v>
      </c>
      <c r="AF130" s="70" t="str">
        <f>IF($C130="","",IF(AE130="","—",IF(AE130&lt;='⚙️ SUPUESTOS'!$C$32,"✔ Muy recomendable",IF(AE130&lt;='⚙️ SUPUESTOS'!$C$33,"✔ Recomendable","Valorar"))))</f>
        <v>✔ Recomendable</v>
      </c>
      <c r="AG130" s="79">
        <f>IF('📇 INVENTARIO'!O131="","",'📇 INVENTARIO'!O131)</f>
        <v>41.64808</v>
      </c>
      <c r="AH130" s="79">
        <f>IF('📇 INVENTARIO'!P131="","",'📇 INVENTARIO'!P131)</f>
        <v>-4.7114200000000004</v>
      </c>
    </row>
    <row r="131" spans="1:34" ht="45" customHeight="1">
      <c r="A131" s="58">
        <f>IF($C131="","",RANK(O131,$O$3:$O$265,0)+COUNTIF($O$3:O131,O131)-1)</f>
        <v>129</v>
      </c>
      <c r="B131" s="59" t="str">
        <f>IF($C131="","",IF(A131&lt;='⚙️ SUPUESTOS'!$C$29,"Fase 1",IF(A131&lt;='⚙️ SUPUESTOS'!$C$30,"Fase 2","Fase 3")))</f>
        <v>Fase 2</v>
      </c>
      <c r="C131" s="60" t="str">
        <f>IF('📇 INVENTARIO'!B128="","",'📇 INVENTARIO'!B128)</f>
        <v>C/ Cisne, 5</v>
      </c>
      <c r="D131" s="59" t="str">
        <f>IF('📇 INVENTARIO'!C128="","",'📇 INVENTARIO'!C128)</f>
        <v>7825704UM5172F</v>
      </c>
      <c r="E131" s="59" t="str">
        <f>IF('📇 INVENTARIO'!D128="","",'📇 INVENTARIO'!D128)</f>
        <v>4718606023</v>
      </c>
      <c r="F131" s="59" t="str">
        <f>IF('📇 INVENTARIO'!F128="","",'📇 INVENTARIO'!F128)</f>
        <v>E</v>
      </c>
      <c r="G131" s="61">
        <f>IF('📇 INVENTARIO'!G128="","",'📇 INVENTARIO'!G128)</f>
        <v>186</v>
      </c>
      <c r="H131" s="61">
        <f>IF('📇 INVENTARIO'!H128="","",'📇 INVENTARIO'!H128)</f>
        <v>35</v>
      </c>
      <c r="I131" s="61">
        <f>IF('📇 INVENTARIO'!I128="","",'📇 INVENTARIO'!I128)</f>
        <v>73.900000000000006</v>
      </c>
      <c r="J131" s="61">
        <f>IF('📇 INVENTARIO'!J128="","",'📇 INVENTARIO'!J128)</f>
        <v>1968</v>
      </c>
      <c r="K131" s="62">
        <f>IF($C131="","",(G131-'⚙️ SUPUESTOS'!$C$20)/('⚙️ SUPUESTOS'!$C$25-'⚙️ SUPUESTOS'!$C$20))</f>
        <v>7.4010327022375214E-2</v>
      </c>
      <c r="L131" s="62">
        <f>IF($C131="","",VLOOKUP($E131,'📊 SECCIONES'!$B$4:$S$9,16,FALSE()))</f>
        <v>0.54128061278831963</v>
      </c>
      <c r="M131" s="62">
        <f>IF($C131="","",VLOOKUP($E131,'📊 SECCIONES'!$B$4:$S$9,17,FALSE()))</f>
        <v>0.59585492227979275</v>
      </c>
      <c r="N131" s="62">
        <f>IF($C131="","",VLOOKUP($E131,'📊 SECCIONES'!$B$4:$S$9,18,FALSE()))</f>
        <v>0.28636363636363632</v>
      </c>
      <c r="O131" s="63">
        <f>IF($C131="","",ROUND('⚙️ SUPUESTOS'!$C$21*K131+'⚙️ SUPUESTOS'!$C$22*L131+'⚙️ SUPUESTOS'!$C$23*M131+'⚙️ SUPUESTOS'!$C$24*N131,4))</f>
        <v>0.26900000000000002</v>
      </c>
      <c r="P131" s="64">
        <f>IF($C131="","",VLOOKUP($E131,'📊 SECCIONES'!$B$4:$S$9,7,FALSE()))</f>
        <v>39.409999999999997</v>
      </c>
      <c r="Q131" s="65">
        <f>IF($C131="","",VLOOKUP($E131,'📊 SECCIONES'!$B$4:$S$9,8,FALSE()))</f>
        <v>22486</v>
      </c>
      <c r="R131" s="64">
        <f>IF($C131="","",VLOOKUP($E131,'📊 SECCIONES'!$B$4:$S$9,10,FALSE()))</f>
        <v>16.899999999999999</v>
      </c>
      <c r="S131" s="61">
        <f>IF('📇 INVENTARIO'!K128="","",'📇 INVENTARIO'!K128)</f>
        <v>5</v>
      </c>
      <c r="T131" s="66" t="str">
        <f t="shared" ref="T131:T194" si="8">IF($C131="","","Objetivo: alcanzar calificación C. Actual: Cal."&amp;F131&amp;". "&amp;IF(OR(F131="G",F131="F"),"SATE integral + cubierta + carpinterías triple + aerotermia + instalación fotovoltaica",IF(F131="E","SATE fachada + carpinterías doble + instalación fotovoltaica",IF(F131="D","Mantenimiento de envolvente + instalación fotovoltaica en cubierta","Optimización energética + instalación fotovoltaica"))))</f>
        <v>Objetivo: alcanzar calificación C. Actual: Cal.E. SATE fachada + carpinterías doble + instalación fotovoltaica</v>
      </c>
      <c r="U131" s="59" t="str">
        <f t="shared" ref="U131:U194" si="9">IF($C131="","",IF(S131=0,"s/d",IF(S131&gt;=4,"Valorar ascensor (verificar)","—")))</f>
        <v>Valorar ascensor (verificar)</v>
      </c>
      <c r="V131" s="67">
        <f>IF('📇 INVENTARIO'!L128="","",'📇 INVENTARIO'!L128)</f>
        <v>450.1</v>
      </c>
      <c r="W131" s="64">
        <f>IF($C131="","",V131*'⚙️ SUPUESTOS'!$C$8*'⚙️ SUPUESTOS'!$C$9)</f>
        <v>94.521000000000001</v>
      </c>
      <c r="X131" s="67">
        <f>IF('📇 INVENTARIO'!N128="","",'📇 INVENTARIO'!N128)</f>
        <v>1525</v>
      </c>
      <c r="Y131" s="67">
        <f>IF($C131="","",W131*X131*'⚙️ SUPUESTOS'!$C$7)</f>
        <v>129730.07249999999</v>
      </c>
      <c r="Z131" s="65">
        <f>IF($C131="","",W131*'⚙️ SUPUESTOS'!$C$10)</f>
        <v>126185.535</v>
      </c>
      <c r="AA131" s="65">
        <f>IF($C131="","",Y131*('⚙️ SUPUESTOS'!$C$12*'⚙️ SUPUESTOS'!$C$11+(1-'⚙️ SUPUESTOS'!$C$12)*'⚙️ SUPUESTOS'!$C$13))</f>
        <v>8847.5909445000016</v>
      </c>
      <c r="AB131" s="65">
        <f>IF($C131="","",IF(Y131&gt;0,ROUND(Y131*'⚙️ SUPUESTOS'!$C$12*'⚙️ SUPUESTOS'!$C$11,0),""))</f>
        <v>3243</v>
      </c>
      <c r="AC131" s="65">
        <f>IF($C131="","",IF(Y131&gt;0,ROUND(Y131*(1-'⚙️ SUPUESTOS'!$C$12)*'⚙️ SUPUESTOS'!$C$13,0),""))</f>
        <v>5604</v>
      </c>
      <c r="AD131" s="65">
        <f t="shared" ref="AD131:AD194" si="10">IF($C131="","",IF(AND(ISNUMBER(AA131),ISNUMBER(AE131),AA131&gt;0,AE131&gt;0),ROUND(AA131*MAX(0,25-AE131),0),""))</f>
        <v>95004</v>
      </c>
      <c r="AE131" s="64">
        <f t="shared" ref="AE131:AE194" si="11">IF($C131="","",IF(AA131&gt;0,Z131/AA131,""))</f>
        <v>14.26213483326122</v>
      </c>
      <c r="AF131" s="59" t="str">
        <f>IF($C131="","",IF(AE131="","—",IF(AE131&lt;='⚙️ SUPUESTOS'!$C$32,"✔ Muy recomendable",IF(AE131&lt;='⚙️ SUPUESTOS'!$C$33,"✔ Recomendable","Valorar"))))</f>
        <v>✔ Muy recomendable</v>
      </c>
      <c r="AG131" s="68">
        <f>IF('📇 INVENTARIO'!O132="","",'📇 INVENTARIO'!O132)</f>
        <v>41.64734</v>
      </c>
      <c r="AH131" s="68">
        <f>IF('📇 INVENTARIO'!P132="","",'📇 INVENTARIO'!P132)</f>
        <v>-4.7106700000000004</v>
      </c>
    </row>
    <row r="132" spans="1:34" ht="45" customHeight="1">
      <c r="A132" s="58">
        <f>IF($C132="","",RANK(O132,$O$3:$O$265,0)+COUNTIF($O$3:O132,O132)-1)</f>
        <v>130</v>
      </c>
      <c r="B132" s="59" t="str">
        <f>IF($C132="","",IF(A132&lt;='⚙️ SUPUESTOS'!$C$29,"Fase 1",IF(A132&lt;='⚙️ SUPUESTOS'!$C$30,"Fase 2","Fase 3")))</f>
        <v>Fase 2</v>
      </c>
      <c r="C132" s="60" t="str">
        <f>IF('📇 INVENTARIO'!B134="","",'📇 INVENTARIO'!B134)</f>
        <v>C/ Marabú, 3</v>
      </c>
      <c r="D132" s="59" t="str">
        <f>IF('📇 INVENTARIO'!C134="","",'📇 INVENTARIO'!C134)</f>
        <v>7924214UM5172D</v>
      </c>
      <c r="E132" s="59" t="str">
        <f>IF('📇 INVENTARIO'!D134="","",'📇 INVENTARIO'!D134)</f>
        <v>4718606024</v>
      </c>
      <c r="F132" s="59" t="str">
        <f>IF('📇 INVENTARIO'!F134="","",'📇 INVENTARIO'!F134)</f>
        <v>F</v>
      </c>
      <c r="G132" s="61">
        <f>IF('📇 INVENTARIO'!G134="","",'📇 INVENTARIO'!G134)</f>
        <v>296</v>
      </c>
      <c r="H132" s="61">
        <f>IF('📇 INVENTARIO'!H134="","",'📇 INVENTARIO'!H134)</f>
        <v>126</v>
      </c>
      <c r="I132" s="61">
        <f>IF('📇 INVENTARIO'!I134="","",'📇 INVENTARIO'!I134)</f>
        <v>160.6</v>
      </c>
      <c r="J132" s="61">
        <f>IF('📇 INVENTARIO'!J134="","",'📇 INVENTARIO'!J134)</f>
        <v>1965</v>
      </c>
      <c r="K132" s="62">
        <f>IF($C132="","",(G132-'⚙️ SUPUESTOS'!$C$20)/('⚙️ SUPUESTOS'!$C$25-'⚙️ SUPUESTOS'!$C$20))</f>
        <v>0.26333907056798622</v>
      </c>
      <c r="L132" s="62">
        <f>IF($C132="","",VLOOKUP($E132,'📊 SECCIONES'!$B$4:$S$9,16,FALSE()))</f>
        <v>0.13391192517993736</v>
      </c>
      <c r="M132" s="62">
        <f>IF($C132="","",VLOOKUP($E132,'📊 SECCIONES'!$B$4:$S$9,17,FALSE()))</f>
        <v>0.16476683937823833</v>
      </c>
      <c r="N132" s="62">
        <f>IF($C132="","",VLOOKUP($E132,'📊 SECCIONES'!$B$4:$S$9,18,FALSE()))</f>
        <v>0.79545454545454541</v>
      </c>
      <c r="O132" s="63">
        <f>IF($C132="","",ROUND('⚙️ SUPUESTOS'!$C$21*K132+'⚙️ SUPUESTOS'!$C$22*L132+'⚙️ SUPUESTOS'!$C$23*M132+'⚙️ SUPUESTOS'!$C$24*N132,4))</f>
        <v>0.26900000000000002</v>
      </c>
      <c r="P132" s="64">
        <f>IF($C132="","",VLOOKUP($E132,'📊 SECCIONES'!$B$4:$S$9,7,FALSE()))</f>
        <v>30.06</v>
      </c>
      <c r="Q132" s="65">
        <f>IF($C132="","",VLOOKUP($E132,'📊 SECCIONES'!$B$4:$S$9,8,FALSE()))</f>
        <v>25132</v>
      </c>
      <c r="R132" s="64">
        <f>IF($C132="","",VLOOKUP($E132,'📊 SECCIONES'!$B$4:$S$9,10,FALSE()))</f>
        <v>28.1</v>
      </c>
      <c r="S132" s="61">
        <f>IF('📇 INVENTARIO'!K134="","",'📇 INVENTARIO'!K134)</f>
        <v>3</v>
      </c>
      <c r="T132" s="66" t="str">
        <f t="shared" si="8"/>
        <v>Objetivo: alcanzar calificación C. Actual: Cal.F. SATE integral + cubierta + carpinterías triple + aerotermia + instalación fotovoltaica</v>
      </c>
      <c r="U132" s="59" t="str">
        <f t="shared" si="9"/>
        <v>—</v>
      </c>
      <c r="V132" s="67">
        <f>IF('📇 INVENTARIO'!L134="","",'📇 INVENTARIO'!L134)</f>
        <v>96.8</v>
      </c>
      <c r="W132" s="64">
        <f>IF($C132="","",V132*'⚙️ SUPUESTOS'!$C$8*'⚙️ SUPUESTOS'!$C$9)</f>
        <v>20.327999999999999</v>
      </c>
      <c r="X132" s="67">
        <f>IF('📇 INVENTARIO'!N134="","",'📇 INVENTARIO'!N134)</f>
        <v>1339</v>
      </c>
      <c r="Y132" s="67">
        <f>IF($C132="","",W132*X132*'⚙️ SUPUESTOS'!$C$7)</f>
        <v>24497.272799999999</v>
      </c>
      <c r="Z132" s="65">
        <f>IF($C132="","",W132*'⚙️ SUPUESTOS'!$C$10)</f>
        <v>27137.88</v>
      </c>
      <c r="AA132" s="65">
        <f>IF($C132="","",Y132*('⚙️ SUPUESTOS'!$C$12*'⚙️ SUPUESTOS'!$C$11+(1-'⚙️ SUPUESTOS'!$C$12)*'⚙️ SUPUESTOS'!$C$13))</f>
        <v>1670.7140049600002</v>
      </c>
      <c r="AB132" s="65">
        <f>IF($C132="","",IF(Y132&gt;0,ROUND(Y132*'⚙️ SUPUESTOS'!$C$12*'⚙️ SUPUESTOS'!$C$11,0),""))</f>
        <v>612</v>
      </c>
      <c r="AC132" s="65">
        <f>IF($C132="","",IF(Y132&gt;0,ROUND(Y132*(1-'⚙️ SUPUESTOS'!$C$12)*'⚙️ SUPUESTOS'!$C$13,0),""))</f>
        <v>1058</v>
      </c>
      <c r="AD132" s="76">
        <f t="shared" si="10"/>
        <v>14630</v>
      </c>
      <c r="AE132" s="75">
        <f t="shared" si="11"/>
        <v>16.243282763796387</v>
      </c>
      <c r="AF132" s="70" t="str">
        <f>IF($C132="","",IF(AE132="","—",IF(AE132&lt;='⚙️ SUPUESTOS'!$C$32,"✔ Muy recomendable",IF(AE132&lt;='⚙️ SUPUESTOS'!$C$33,"✔ Recomendable","Valorar"))))</f>
        <v>Valorar</v>
      </c>
      <c r="AG132" s="79">
        <f>IF('📇 INVENTARIO'!O133="","",'📇 INVENTARIO'!O133)</f>
        <v>41.647280000000002</v>
      </c>
      <c r="AH132" s="79">
        <f>IF('📇 INVENTARIO'!P133="","",'📇 INVENTARIO'!P133)</f>
        <v>-4.70974</v>
      </c>
    </row>
    <row r="133" spans="1:34" ht="45" customHeight="1">
      <c r="A133" s="69">
        <f>IF($C133="","",RANK(O133,$O$3:$O$265,0)+COUNTIF($O$3:O133,O133)-1)</f>
        <v>131</v>
      </c>
      <c r="B133" s="70" t="str">
        <f>IF($C133="","",IF(A133&lt;='⚙️ SUPUESTOS'!$C$29,"Fase 1",IF(A133&lt;='⚙️ SUPUESTOS'!$C$30,"Fase 2","Fase 3")))</f>
        <v>Fase 2</v>
      </c>
      <c r="C133" s="71" t="str">
        <f>IF('📇 INVENTARIO'!B133="","",'📇 INVENTARIO'!B133)</f>
        <v>C/ Cigüeña, 29</v>
      </c>
      <c r="D133" s="70" t="str">
        <f>IF('📇 INVENTARIO'!C133="","",'📇 INVENTARIO'!C133)</f>
        <v>7723406UM5172D</v>
      </c>
      <c r="E133" s="70" t="str">
        <f>IF('📇 INVENTARIO'!D133="","",'📇 INVENTARIO'!D133)</f>
        <v>4718606028</v>
      </c>
      <c r="F133" s="70" t="str">
        <f>IF('📇 INVENTARIO'!F133="","",'📇 INVENTARIO'!F133)</f>
        <v>E</v>
      </c>
      <c r="G133" s="72">
        <f>IF('📇 INVENTARIO'!G133="","",'📇 INVENTARIO'!G133)</f>
        <v>251</v>
      </c>
      <c r="H133" s="72">
        <f>IF('📇 INVENTARIO'!H133="","",'📇 INVENTARIO'!H133)</f>
        <v>50</v>
      </c>
      <c r="I133" s="72">
        <f>IF('📇 INVENTARIO'!I133="","",'📇 INVENTARIO'!I133)</f>
        <v>141.9</v>
      </c>
      <c r="J133" s="72">
        <f>IF('📇 INVENTARIO'!J133="","",'📇 INVENTARIO'!J133)</f>
        <v>1967</v>
      </c>
      <c r="K133" s="73">
        <f>IF($C133="","",(G133-'⚙️ SUPUESTOS'!$C$20)/('⚙️ SUPUESTOS'!$C$25-'⚙️ SUPUESTOS'!$C$20))</f>
        <v>0.18588640275387264</v>
      </c>
      <c r="L133" s="73">
        <f>IF($C133="","",VLOOKUP($E133,'📊 SECCIONES'!$B$4:$S$9,16,FALSE()))</f>
        <v>0.24395028956990591</v>
      </c>
      <c r="M133" s="73">
        <f>IF($C133="","",VLOOKUP($E133,'📊 SECCIONES'!$B$4:$S$9,17,FALSE()))</f>
        <v>0.34507772020725386</v>
      </c>
      <c r="N133" s="73">
        <f>IF($C133="","",VLOOKUP($E133,'📊 SECCIONES'!$B$4:$S$9,18,FALSE()))</f>
        <v>0.70909090909090911</v>
      </c>
      <c r="O133" s="74">
        <f>IF($C133="","",ROUND('⚙️ SUPUESTOS'!$C$21*K133+'⚙️ SUPUESTOS'!$C$22*L133+'⚙️ SUPUESTOS'!$C$23*M133+'⚙️ SUPUESTOS'!$C$24*N133,4))</f>
        <v>0.26800000000000002</v>
      </c>
      <c r="P133" s="75">
        <f>IF($C133="","",VLOOKUP($E133,'📊 SECCIONES'!$B$4:$S$9,7,FALSE()))</f>
        <v>29.81</v>
      </c>
      <c r="Q133" s="76">
        <f>IF($C133="","",VLOOKUP($E133,'📊 SECCIONES'!$B$4:$S$9,8,FALSE()))</f>
        <v>23665</v>
      </c>
      <c r="R133" s="75">
        <f>IF($C133="","",VLOOKUP($E133,'📊 SECCIONES'!$B$4:$S$9,10,FALSE()))</f>
        <v>26.2</v>
      </c>
      <c r="S133" s="72">
        <f>IF('📇 INVENTARIO'!K133="","",'📇 INVENTARIO'!K133)</f>
        <v>6</v>
      </c>
      <c r="T133" s="77" t="str">
        <f t="shared" si="8"/>
        <v>Objetivo: alcanzar calificación C. Actual: Cal.E. SATE fachada + carpinterías doble + instalación fotovoltaica</v>
      </c>
      <c r="U133" s="70" t="str">
        <f t="shared" si="9"/>
        <v>Valorar ascensor (verificar)</v>
      </c>
      <c r="V133" s="78">
        <f>IF('📇 INVENTARIO'!L133="","",'📇 INVENTARIO'!L133)</f>
        <v>318.8</v>
      </c>
      <c r="W133" s="75">
        <f>IF($C133="","",V133*'⚙️ SUPUESTOS'!$C$8*'⚙️ SUPUESTOS'!$C$9)</f>
        <v>66.947999999999993</v>
      </c>
      <c r="X133" s="78">
        <f>IF('📇 INVENTARIO'!N133="","",'📇 INVENTARIO'!N133)</f>
        <v>1515</v>
      </c>
      <c r="Y133" s="78">
        <f>IF($C133="","",W133*X133*'⚙️ SUPUESTOS'!$C$7)</f>
        <v>91283.597999999984</v>
      </c>
      <c r="Z133" s="76">
        <f>IF($C133="","",W133*'⚙️ SUPUESTOS'!$C$10)</f>
        <v>89375.579999999987</v>
      </c>
      <c r="AA133" s="76">
        <f>IF($C133="","",Y133*('⚙️ SUPUESTOS'!$C$12*'⚙️ SUPUESTOS'!$C$11+(1-'⚙️ SUPUESTOS'!$C$12)*'⚙️ SUPUESTOS'!$C$13))</f>
        <v>6225.5413835999998</v>
      </c>
      <c r="AB133" s="76">
        <f>IF($C133="","",IF(Y133&gt;0,ROUND(Y133*'⚙️ SUPUESTOS'!$C$12*'⚙️ SUPUESTOS'!$C$11,0),""))</f>
        <v>2282</v>
      </c>
      <c r="AC133" s="76">
        <f>IF($C133="","",IF(Y133&gt;0,ROUND(Y133*(1-'⚙️ SUPUESTOS'!$C$12)*'⚙️ SUPUESTOS'!$C$13,0),""))</f>
        <v>3943</v>
      </c>
      <c r="AD133" s="65">
        <f t="shared" si="10"/>
        <v>66263</v>
      </c>
      <c r="AE133" s="64">
        <f t="shared" si="11"/>
        <v>14.356274337111129</v>
      </c>
      <c r="AF133" s="59" t="str">
        <f>IF($C133="","",IF(AE133="","—",IF(AE133&lt;='⚙️ SUPUESTOS'!$C$32,"✔ Muy recomendable",IF(AE133&lt;='⚙️ SUPUESTOS'!$C$33,"✔ Recomendable","Valorar"))))</f>
        <v>✔ Muy recomendable</v>
      </c>
      <c r="AG133" s="68">
        <f>IF('📇 INVENTARIO'!O134="","",'📇 INVENTARIO'!O134)</f>
        <v>41.649270000000001</v>
      </c>
      <c r="AH133" s="68">
        <f>IF('📇 INVENTARIO'!P134="","",'📇 INVENTARIO'!P134)</f>
        <v>-4.7074199999999999</v>
      </c>
    </row>
    <row r="134" spans="1:34" ht="45" customHeight="1">
      <c r="A134" s="69">
        <f>IF($C134="","",RANK(O134,$O$3:$O$265,0)+COUNTIF($O$3:O134,O134)-1)</f>
        <v>132</v>
      </c>
      <c r="B134" s="70" t="str">
        <f>IF($C134="","",IF(A134&lt;='⚙️ SUPUESTOS'!$C$29,"Fase 1",IF(A134&lt;='⚙️ SUPUESTOS'!$C$30,"Fase 2","Fase 3")))</f>
        <v>Fase 2</v>
      </c>
      <c r="C134" s="71" t="str">
        <f>IF('📇 INVENTARIO'!B137="","",'📇 INVENTARIO'!B137)</f>
        <v>C/ Pingüino, 11</v>
      </c>
      <c r="D134" s="70" t="str">
        <f>IF('📇 INVENTARIO'!C137="","",'📇 INVENTARIO'!C137)</f>
        <v>8025209UM5182E</v>
      </c>
      <c r="E134" s="70" t="str">
        <f>IF('📇 INVENTARIO'!D137="","",'📇 INVENTARIO'!D137)</f>
        <v>4718606024</v>
      </c>
      <c r="F134" s="70" t="str">
        <f>IF('📇 INVENTARIO'!F137="","",'📇 INVENTARIO'!F137)</f>
        <v>G</v>
      </c>
      <c r="G134" s="72">
        <f>IF('📇 INVENTARIO'!G137="","",'📇 INVENTARIO'!G137)</f>
        <v>289</v>
      </c>
      <c r="H134" s="72">
        <f>IF('📇 INVENTARIO'!H137="","",'📇 INVENTARIO'!H137)</f>
        <v>61</v>
      </c>
      <c r="I134" s="72">
        <f>IF('📇 INVENTARIO'!I137="","",'📇 INVENTARIO'!I137)</f>
        <v>128.69999999999999</v>
      </c>
      <c r="J134" s="72">
        <f>IF('📇 INVENTARIO'!J137="","",'📇 INVENTARIO'!J137)</f>
        <v>1969</v>
      </c>
      <c r="K134" s="73">
        <f>IF($C134="","",(G134-'⚙️ SUPUESTOS'!$C$20)/('⚙️ SUPUESTOS'!$C$25-'⚙️ SUPUESTOS'!$C$20))</f>
        <v>0.2512908777969019</v>
      </c>
      <c r="L134" s="73">
        <f>IF($C134="","",VLOOKUP($E134,'📊 SECCIONES'!$B$4:$S$9,16,FALSE()))</f>
        <v>0.13391192517993736</v>
      </c>
      <c r="M134" s="73">
        <f>IF($C134="","",VLOOKUP($E134,'📊 SECCIONES'!$B$4:$S$9,17,FALSE()))</f>
        <v>0.16476683937823833</v>
      </c>
      <c r="N134" s="73">
        <f>IF($C134="","",VLOOKUP($E134,'📊 SECCIONES'!$B$4:$S$9,18,FALSE()))</f>
        <v>0.79545454545454541</v>
      </c>
      <c r="O134" s="74">
        <f>IF($C134="","",ROUND('⚙️ SUPUESTOS'!$C$21*K134+'⚙️ SUPUESTOS'!$C$22*L134+'⚙️ SUPUESTOS'!$C$23*M134+'⚙️ SUPUESTOS'!$C$24*N134,4))</f>
        <v>0.26229999999999998</v>
      </c>
      <c r="P134" s="75">
        <f>IF($C134="","",VLOOKUP($E134,'📊 SECCIONES'!$B$4:$S$9,7,FALSE()))</f>
        <v>30.06</v>
      </c>
      <c r="Q134" s="76">
        <f>IF($C134="","",VLOOKUP($E134,'📊 SECCIONES'!$B$4:$S$9,8,FALSE()))</f>
        <v>25132</v>
      </c>
      <c r="R134" s="75">
        <f>IF($C134="","",VLOOKUP($E134,'📊 SECCIONES'!$B$4:$S$9,10,FALSE()))</f>
        <v>28.1</v>
      </c>
      <c r="S134" s="72">
        <f>IF('📇 INVENTARIO'!K137="","",'📇 INVENTARIO'!K137)</f>
        <v>6</v>
      </c>
      <c r="T134" s="77" t="str">
        <f t="shared" si="8"/>
        <v>Objetivo: alcanzar calificación C. Actual: Cal.G. SATE integral + cubierta + carpinterías triple + aerotermia + instalación fotovoltaica</v>
      </c>
      <c r="U134" s="70" t="str">
        <f t="shared" si="9"/>
        <v>Valorar ascensor (verificar)</v>
      </c>
      <c r="V134" s="78">
        <f>IF('📇 INVENTARIO'!L137="","",'📇 INVENTARIO'!L137)</f>
        <v>573</v>
      </c>
      <c r="W134" s="75">
        <f>IF($C134="","",V134*'⚙️ SUPUESTOS'!$C$8*'⚙️ SUPUESTOS'!$C$9)</f>
        <v>120.33</v>
      </c>
      <c r="X134" s="78">
        <f>IF('📇 INVENTARIO'!N137="","",'📇 INVENTARIO'!N137)</f>
        <v>1356</v>
      </c>
      <c r="Y134" s="78">
        <f>IF($C134="","",W134*X134*'⚙️ SUPUESTOS'!$C$7)</f>
        <v>146850.73200000002</v>
      </c>
      <c r="Z134" s="76">
        <f>IF($C134="","",W134*'⚙️ SUPUESTOS'!$C$10)</f>
        <v>160640.54999999999</v>
      </c>
      <c r="AA134" s="76">
        <f>IF($C134="","",Y134*('⚙️ SUPUESTOS'!$C$12*'⚙️ SUPUESTOS'!$C$11+(1-'⚙️ SUPUESTOS'!$C$12)*'⚙️ SUPUESTOS'!$C$13))</f>
        <v>10015.219922400003</v>
      </c>
      <c r="AB134" s="76">
        <f>IF($C134="","",IF(Y134&gt;0,ROUND(Y134*'⚙️ SUPUESTOS'!$C$12*'⚙️ SUPUESTOS'!$C$11,0),""))</f>
        <v>3671</v>
      </c>
      <c r="AC134" s="76">
        <f>IF($C134="","",IF(Y134&gt;0,ROUND(Y134*(1-'⚙️ SUPUESTOS'!$C$12)*'⚙️ SUPUESTOS'!$C$13,0),""))</f>
        <v>6344</v>
      </c>
      <c r="AD134" s="76">
        <f t="shared" si="10"/>
        <v>89740</v>
      </c>
      <c r="AE134" s="75">
        <f t="shared" si="11"/>
        <v>16.039642788144068</v>
      </c>
      <c r="AF134" s="70" t="str">
        <f>IF($C134="","",IF(AE134="","—",IF(AE134&lt;='⚙️ SUPUESTOS'!$C$32,"✔ Muy recomendable",IF(AE134&lt;='⚙️ SUPUESTOS'!$C$33,"✔ Recomendable","Valorar"))))</f>
        <v>Valorar</v>
      </c>
      <c r="AG134" s="79">
        <f>IF('📇 INVENTARIO'!O135="","",'📇 INVENTARIO'!O135)</f>
        <v>41.649760000000001</v>
      </c>
      <c r="AH134" s="79">
        <f>IF('📇 INVENTARIO'!P135="","",'📇 INVENTARIO'!P135)</f>
        <v>-4.7088299999999998</v>
      </c>
    </row>
    <row r="135" spans="1:34" ht="45" customHeight="1">
      <c r="A135" s="69">
        <f>IF($C135="","",RANK(O135,$O$3:$O$265,0)+COUNTIF($O$3:O135,O135)-1)</f>
        <v>133</v>
      </c>
      <c r="B135" s="70" t="str">
        <f>IF($C135="","",IF(A135&lt;='⚙️ SUPUESTOS'!$C$29,"Fase 1",IF(A135&lt;='⚙️ SUPUESTOS'!$C$30,"Fase 2","Fase 3")))</f>
        <v>Fase 2</v>
      </c>
      <c r="C135" s="71" t="str">
        <f>IF('📇 INVENTARIO'!B135="","",'📇 INVENTARIO'!B135)</f>
        <v>C/ Gavilán, 4</v>
      </c>
      <c r="D135" s="70" t="str">
        <f>IF('📇 INVENTARIO'!C135="","",'📇 INVENTARIO'!C135)</f>
        <v>7825402UM5172F</v>
      </c>
      <c r="E135" s="70" t="str">
        <f>IF('📇 INVENTARIO'!D135="","",'📇 INVENTARIO'!D135)</f>
        <v>4718606023</v>
      </c>
      <c r="F135" s="70" t="str">
        <f>IF('📇 INVENTARIO'!F135="","",'📇 INVENTARIO'!F135)</f>
        <v>E</v>
      </c>
      <c r="G135" s="72">
        <f>IF('📇 INVENTARIO'!G135="","",'📇 INVENTARIO'!G135)</f>
        <v>178</v>
      </c>
      <c r="H135" s="72">
        <f>IF('📇 INVENTARIO'!H135="","",'📇 INVENTARIO'!H135)</f>
        <v>37</v>
      </c>
      <c r="I135" s="72">
        <f>IF('📇 INVENTARIO'!I135="","",'📇 INVENTARIO'!I135)</f>
        <v>131.6</v>
      </c>
      <c r="J135" s="72">
        <f>IF('📇 INVENTARIO'!J135="","",'📇 INVENTARIO'!J135)</f>
        <v>1965</v>
      </c>
      <c r="K135" s="73">
        <f>IF($C135="","",(G135-'⚙️ SUPUESTOS'!$C$20)/('⚙️ SUPUESTOS'!$C$25-'⚙️ SUPUESTOS'!$C$20))</f>
        <v>6.0240963855421686E-2</v>
      </c>
      <c r="L135" s="73">
        <f>IF($C135="","",VLOOKUP($E135,'📊 SECCIONES'!$B$4:$S$9,16,FALSE()))</f>
        <v>0.54128061278831963</v>
      </c>
      <c r="M135" s="73">
        <f>IF($C135="","",VLOOKUP($E135,'📊 SECCIONES'!$B$4:$S$9,17,FALSE()))</f>
        <v>0.59585492227979275</v>
      </c>
      <c r="N135" s="73">
        <f>IF($C135="","",VLOOKUP($E135,'📊 SECCIONES'!$B$4:$S$9,18,FALSE()))</f>
        <v>0.28636363636363632</v>
      </c>
      <c r="O135" s="74">
        <f>IF($C135="","",ROUND('⚙️ SUPUESTOS'!$C$21*K135+'⚙️ SUPUESTOS'!$C$22*L135+'⚙️ SUPUESTOS'!$C$23*M135+'⚙️ SUPUESTOS'!$C$24*N135,4))</f>
        <v>0.26140000000000002</v>
      </c>
      <c r="P135" s="75">
        <f>IF($C135="","",VLOOKUP($E135,'📊 SECCIONES'!$B$4:$S$9,7,FALSE()))</f>
        <v>39.409999999999997</v>
      </c>
      <c r="Q135" s="76">
        <f>IF($C135="","",VLOOKUP($E135,'📊 SECCIONES'!$B$4:$S$9,8,FALSE()))</f>
        <v>22486</v>
      </c>
      <c r="R135" s="75">
        <f>IF($C135="","",VLOOKUP($E135,'📊 SECCIONES'!$B$4:$S$9,10,FALSE()))</f>
        <v>16.899999999999999</v>
      </c>
      <c r="S135" s="72">
        <f>IF('📇 INVENTARIO'!K135="","",'📇 INVENTARIO'!K135)</f>
        <v>3</v>
      </c>
      <c r="T135" s="77" t="str">
        <f t="shared" si="8"/>
        <v>Objetivo: alcanzar calificación C. Actual: Cal.E. SATE fachada + carpinterías doble + instalación fotovoltaica</v>
      </c>
      <c r="U135" s="70" t="str">
        <f t="shared" si="9"/>
        <v>—</v>
      </c>
      <c r="V135" s="78">
        <f>IF('📇 INVENTARIO'!L135="","",'📇 INVENTARIO'!L135)</f>
        <v>99.7</v>
      </c>
      <c r="W135" s="75">
        <f>IF($C135="","",V135*'⚙️ SUPUESTOS'!$C$8*'⚙️ SUPUESTOS'!$C$9)</f>
        <v>20.937000000000001</v>
      </c>
      <c r="X135" s="78">
        <f>IF('📇 INVENTARIO'!N135="","",'📇 INVENTARIO'!N135)</f>
        <v>1308</v>
      </c>
      <c r="Y135" s="78">
        <f>IF($C135="","",W135*X135*'⚙️ SUPUESTOS'!$C$7)</f>
        <v>24647.036400000001</v>
      </c>
      <c r="Z135" s="76">
        <f>IF($C135="","",W135*'⚙️ SUPUESTOS'!$C$10)</f>
        <v>27950.895</v>
      </c>
      <c r="AA135" s="76">
        <f>IF($C135="","",Y135*('⚙️ SUPUESTOS'!$C$12*'⚙️ SUPUESTOS'!$C$11+(1-'⚙️ SUPUESTOS'!$C$12)*'⚙️ SUPUESTOS'!$C$13))</f>
        <v>1680.9278824800003</v>
      </c>
      <c r="AB135" s="76">
        <f>IF($C135="","",IF(Y135&gt;0,ROUND(Y135*'⚙️ SUPUESTOS'!$C$12*'⚙️ SUPUESTOS'!$C$11,0),""))</f>
        <v>616</v>
      </c>
      <c r="AC135" s="76">
        <f>IF($C135="","",IF(Y135&gt;0,ROUND(Y135*(1-'⚙️ SUPUESTOS'!$C$12)*'⚙️ SUPUESTOS'!$C$13,0),""))</f>
        <v>1065</v>
      </c>
      <c r="AD135" s="65">
        <f t="shared" si="10"/>
        <v>14072</v>
      </c>
      <c r="AE135" s="64">
        <f t="shared" si="11"/>
        <v>16.62825353266312</v>
      </c>
      <c r="AF135" s="59" t="str">
        <f>IF($C135="","",IF(AE135="","—",IF(AE135&lt;='⚙️ SUPUESTOS'!$C$32,"✔ Muy recomendable",IF(AE135&lt;='⚙️ SUPUESTOS'!$C$33,"✔ Recomendable","Valorar"))))</f>
        <v>Valorar</v>
      </c>
      <c r="AG135" s="68">
        <f>IF('📇 INVENTARIO'!O136="","",'📇 INVENTARIO'!O136)</f>
        <v>41.646709999999999</v>
      </c>
      <c r="AH135" s="68">
        <f>IF('📇 INVENTARIO'!P136="","",'📇 INVENTARIO'!P136)</f>
        <v>-4.7085400000000002</v>
      </c>
    </row>
    <row r="136" spans="1:34" ht="45" customHeight="1">
      <c r="A136" s="58">
        <f>IF($C136="","",RANK(O136,$O$3:$O$265,0)+COUNTIF($O$3:O136,O136)-1)</f>
        <v>134</v>
      </c>
      <c r="B136" s="59" t="str">
        <f>IF($C136="","",IF(A136&lt;='⚙️ SUPUESTOS'!$C$29,"Fase 1",IF(A136&lt;='⚙️ SUPUESTOS'!$C$30,"Fase 2","Fase 3")))</f>
        <v>Fase 2</v>
      </c>
      <c r="C136" s="60" t="str">
        <f>IF('📇 INVENTARIO'!B136="","",'📇 INVENTARIO'!B136)</f>
        <v>C/ Gallo, 13</v>
      </c>
      <c r="D136" s="59" t="str">
        <f>IF('📇 INVENTARIO'!C136="","",'📇 INVENTARIO'!C136)</f>
        <v>7822106UM5172B</v>
      </c>
      <c r="E136" s="59" t="str">
        <f>IF('📇 INVENTARIO'!D136="","",'📇 INVENTARIO'!D136)</f>
        <v>4718606028</v>
      </c>
      <c r="F136" s="59" t="str">
        <f>IF('📇 INVENTARIO'!F136="","",'📇 INVENTARIO'!F136)</f>
        <v>E</v>
      </c>
      <c r="G136" s="61">
        <f>IF('📇 INVENTARIO'!G136="","",'📇 INVENTARIO'!G136)</f>
        <v>244</v>
      </c>
      <c r="H136" s="61">
        <f>IF('📇 INVENTARIO'!H136="","",'📇 INVENTARIO'!H136)</f>
        <v>52</v>
      </c>
      <c r="I136" s="61">
        <f>IF('📇 INVENTARIO'!I136="","",'📇 INVENTARIO'!I136)</f>
        <v>136.19999999999999</v>
      </c>
      <c r="J136" s="61">
        <f>IF('📇 INVENTARIO'!J136="","",'📇 INVENTARIO'!J136)</f>
        <v>1970</v>
      </c>
      <c r="K136" s="62">
        <f>IF($C136="","",(G136-'⚙️ SUPUESTOS'!$C$20)/('⚙️ SUPUESTOS'!$C$25-'⚙️ SUPUESTOS'!$C$20))</f>
        <v>0.17383820998278829</v>
      </c>
      <c r="L136" s="62">
        <f>IF($C136="","",VLOOKUP($E136,'📊 SECCIONES'!$B$4:$S$9,16,FALSE()))</f>
        <v>0.24395028956990591</v>
      </c>
      <c r="M136" s="62">
        <f>IF($C136="","",VLOOKUP($E136,'📊 SECCIONES'!$B$4:$S$9,17,FALSE()))</f>
        <v>0.34507772020725386</v>
      </c>
      <c r="N136" s="62">
        <f>IF($C136="","",VLOOKUP($E136,'📊 SECCIONES'!$B$4:$S$9,18,FALSE()))</f>
        <v>0.70909090909090911</v>
      </c>
      <c r="O136" s="63">
        <f>IF($C136="","",ROUND('⚙️ SUPUESTOS'!$C$21*K136+'⚙️ SUPUESTOS'!$C$22*L136+'⚙️ SUPUESTOS'!$C$23*M136+'⚙️ SUPUESTOS'!$C$24*N136,4))</f>
        <v>0.26140000000000002</v>
      </c>
      <c r="P136" s="64">
        <f>IF($C136="","",VLOOKUP($E136,'📊 SECCIONES'!$B$4:$S$9,7,FALSE()))</f>
        <v>29.81</v>
      </c>
      <c r="Q136" s="65">
        <f>IF($C136="","",VLOOKUP($E136,'📊 SECCIONES'!$B$4:$S$9,8,FALSE()))</f>
        <v>23665</v>
      </c>
      <c r="R136" s="64">
        <f>IF($C136="","",VLOOKUP($E136,'📊 SECCIONES'!$B$4:$S$9,10,FALSE()))</f>
        <v>26.2</v>
      </c>
      <c r="S136" s="61">
        <f>IF('📇 INVENTARIO'!K136="","",'📇 INVENTARIO'!K136)</f>
        <v>6</v>
      </c>
      <c r="T136" s="66" t="str">
        <f t="shared" si="8"/>
        <v>Objetivo: alcanzar calificación C. Actual: Cal.E. SATE fachada + carpinterías doble + instalación fotovoltaica</v>
      </c>
      <c r="U136" s="59" t="str">
        <f t="shared" si="9"/>
        <v>Valorar ascensor (verificar)</v>
      </c>
      <c r="V136" s="67">
        <f>IF('📇 INVENTARIO'!L136="","",'📇 INVENTARIO'!L136)</f>
        <v>320.60000000000002</v>
      </c>
      <c r="W136" s="64">
        <f>IF($C136="","",V136*'⚙️ SUPUESTOS'!$C$8*'⚙️ SUPUESTOS'!$C$9)</f>
        <v>67.326000000000008</v>
      </c>
      <c r="X136" s="67">
        <f>IF('📇 INVENTARIO'!N136="","",'📇 INVENTARIO'!N136)</f>
        <v>1425</v>
      </c>
      <c r="Y136" s="67">
        <f>IF($C136="","",W136*X136*'⚙️ SUPUESTOS'!$C$7)</f>
        <v>86345.595000000016</v>
      </c>
      <c r="Z136" s="65">
        <f>IF($C136="","",W136*'⚙️ SUPUESTOS'!$C$10)</f>
        <v>89880.21</v>
      </c>
      <c r="AA136" s="65">
        <f>IF($C136="","",Y136*('⚙️ SUPUESTOS'!$C$12*'⚙️ SUPUESTOS'!$C$11+(1-'⚙️ SUPUESTOS'!$C$12)*'⚙️ SUPUESTOS'!$C$13))</f>
        <v>5888.7695790000016</v>
      </c>
      <c r="AB136" s="65">
        <f>IF($C136="","",IF(Y136&gt;0,ROUND(Y136*'⚙️ SUPUESTOS'!$C$12*'⚙️ SUPUESTOS'!$C$11,0),""))</f>
        <v>2159</v>
      </c>
      <c r="AC136" s="65">
        <f>IF($C136="","",IF(Y136&gt;0,ROUND(Y136*(1-'⚙️ SUPUESTOS'!$C$12)*'⚙️ SUPUESTOS'!$C$13,0),""))</f>
        <v>3730</v>
      </c>
      <c r="AD136" s="76">
        <f t="shared" si="10"/>
        <v>57339</v>
      </c>
      <c r="AE136" s="75">
        <f t="shared" si="11"/>
        <v>15.26298640050762</v>
      </c>
      <c r="AF136" s="70" t="str">
        <f>IF($C136="","",IF(AE136="","—",IF(AE136&lt;='⚙️ SUPUESTOS'!$C$32,"✔ Muy recomendable",IF(AE136&lt;='⚙️ SUPUESTOS'!$C$33,"✔ Recomendable","Valorar"))))</f>
        <v>✔ Recomendable</v>
      </c>
      <c r="AG136" s="79">
        <f>IF('📇 INVENTARIO'!O137="","",'📇 INVENTARIO'!O137)</f>
        <v>41.649740000000001</v>
      </c>
      <c r="AH136" s="79">
        <f>IF('📇 INVENTARIO'!P137="","",'📇 INVENTARIO'!P137)</f>
        <v>-4.7072700000000003</v>
      </c>
    </row>
    <row r="137" spans="1:34" ht="45" customHeight="1">
      <c r="A137" s="58">
        <f>IF($C137="","",RANK(O137,$O$3:$O$265,0)+COUNTIF($O$3:O137,O137)-1)</f>
        <v>135</v>
      </c>
      <c r="B137" s="59" t="str">
        <f>IF($C137="","",IF(A137&lt;='⚙️ SUPUESTOS'!$C$29,"Fase 1",IF(A137&lt;='⚙️ SUPUESTOS'!$C$30,"Fase 2","Fase 3")))</f>
        <v>Fase 2</v>
      </c>
      <c r="C137" s="60" t="str">
        <f>IF('📇 INVENTARIO'!B138="","",'📇 INVENTARIO'!B138)</f>
        <v>C/ Villabáñez, 27</v>
      </c>
      <c r="D137" s="59" t="str">
        <f>IF('📇 INVENTARIO'!C138="","",'📇 INVENTARIO'!C138)</f>
        <v>7924205UM5172D</v>
      </c>
      <c r="E137" s="59" t="str">
        <f>IF('📇 INVENTARIO'!D138="","",'📇 INVENTARIO'!D138)</f>
        <v>4718606024</v>
      </c>
      <c r="F137" s="59" t="str">
        <f>IF('📇 INVENTARIO'!F138="","",'📇 INVENTARIO'!F138)</f>
        <v>E</v>
      </c>
      <c r="G137" s="61">
        <f>IF('📇 INVENTARIO'!G138="","",'📇 INVENTARIO'!G138)</f>
        <v>288</v>
      </c>
      <c r="H137" s="61">
        <f>IF('📇 INVENTARIO'!H138="","",'📇 INVENTARIO'!H138)</f>
        <v>61</v>
      </c>
      <c r="I137" s="61">
        <f>IF('📇 INVENTARIO'!I138="","",'📇 INVENTARIO'!I138)</f>
        <v>125.2</v>
      </c>
      <c r="J137" s="61">
        <f>IF('📇 INVENTARIO'!J138="","",'📇 INVENTARIO'!J138)</f>
        <v>1970</v>
      </c>
      <c r="K137" s="62">
        <f>IF($C137="","",(G137-'⚙️ SUPUESTOS'!$C$20)/('⚙️ SUPUESTOS'!$C$25-'⚙️ SUPUESTOS'!$C$20))</f>
        <v>0.24956970740103271</v>
      </c>
      <c r="L137" s="62">
        <f>IF($C137="","",VLOOKUP($E137,'📊 SECCIONES'!$B$4:$S$9,16,FALSE()))</f>
        <v>0.13391192517993736</v>
      </c>
      <c r="M137" s="62">
        <f>IF($C137="","",VLOOKUP($E137,'📊 SECCIONES'!$B$4:$S$9,17,FALSE()))</f>
        <v>0.16476683937823833</v>
      </c>
      <c r="N137" s="62">
        <f>IF($C137="","",VLOOKUP($E137,'📊 SECCIONES'!$B$4:$S$9,18,FALSE()))</f>
        <v>0.79545454545454541</v>
      </c>
      <c r="O137" s="63">
        <f>IF($C137="","",ROUND('⚙️ SUPUESTOS'!$C$21*K137+'⚙️ SUPUESTOS'!$C$22*L137+'⚙️ SUPUESTOS'!$C$23*M137+'⚙️ SUPUESTOS'!$C$24*N137,4))</f>
        <v>0.26140000000000002</v>
      </c>
      <c r="P137" s="64">
        <f>IF($C137="","",VLOOKUP($E137,'📊 SECCIONES'!$B$4:$S$9,7,FALSE()))</f>
        <v>30.06</v>
      </c>
      <c r="Q137" s="65">
        <f>IF($C137="","",VLOOKUP($E137,'📊 SECCIONES'!$B$4:$S$9,8,FALSE()))</f>
        <v>25132</v>
      </c>
      <c r="R137" s="64">
        <f>IF($C137="","",VLOOKUP($E137,'📊 SECCIONES'!$B$4:$S$9,10,FALSE()))</f>
        <v>28.1</v>
      </c>
      <c r="S137" s="61">
        <f>IF('📇 INVENTARIO'!K138="","",'📇 INVENTARIO'!K138)</f>
        <v>6</v>
      </c>
      <c r="T137" s="66" t="str">
        <f t="shared" si="8"/>
        <v>Objetivo: alcanzar calificación C. Actual: Cal.E. SATE fachada + carpinterías doble + instalación fotovoltaica</v>
      </c>
      <c r="U137" s="59" t="str">
        <f t="shared" si="9"/>
        <v>Valorar ascensor (verificar)</v>
      </c>
      <c r="V137" s="67">
        <f>IF('📇 INVENTARIO'!L138="","",'📇 INVENTARIO'!L138)</f>
        <v>910.1</v>
      </c>
      <c r="W137" s="64">
        <f>IF($C137="","",V137*'⚙️ SUPUESTOS'!$C$8*'⚙️ SUPUESTOS'!$C$9)</f>
        <v>191.12100000000001</v>
      </c>
      <c r="X137" s="67">
        <f>IF('📇 INVENTARIO'!N138="","",'📇 INVENTARIO'!N138)</f>
        <v>1417</v>
      </c>
      <c r="Y137" s="67">
        <f>IF($C137="","",W137*X137*'⚙️ SUPUESTOS'!$C$7)</f>
        <v>243736.61129999999</v>
      </c>
      <c r="Z137" s="65">
        <f>IF($C137="","",W137*'⚙️ SUPUESTOS'!$C$10)</f>
        <v>255146.535</v>
      </c>
      <c r="AA137" s="65">
        <f>IF($C137="","",Y137*('⚙️ SUPUESTOS'!$C$12*'⚙️ SUPUESTOS'!$C$11+(1-'⚙️ SUPUESTOS'!$C$12)*'⚙️ SUPUESTOS'!$C$13))</f>
        <v>16622.836890660001</v>
      </c>
      <c r="AB137" s="65">
        <f>IF($C137="","",IF(Y137&gt;0,ROUND(Y137*'⚙️ SUPUESTOS'!$C$12*'⚙️ SUPUESTOS'!$C$11,0),""))</f>
        <v>6093</v>
      </c>
      <c r="AC137" s="65">
        <f>IF($C137="","",IF(Y137&gt;0,ROUND(Y137*(1-'⚙️ SUPUESTOS'!$C$12)*'⚙️ SUPUESTOS'!$C$13,0),""))</f>
        <v>10529</v>
      </c>
      <c r="AD137" s="65">
        <f t="shared" si="10"/>
        <v>160424</v>
      </c>
      <c r="AE137" s="64">
        <f t="shared" si="11"/>
        <v>15.349157107073649</v>
      </c>
      <c r="AF137" s="59" t="str">
        <f>IF($C137="","",IF(AE137="","—",IF(AE137&lt;='⚙️ SUPUESTOS'!$C$32,"✔ Muy recomendable",IF(AE137&lt;='⚙️ SUPUESTOS'!$C$33,"✔ Recomendable","Valorar"))))</f>
        <v>✔ Recomendable</v>
      </c>
      <c r="AG137" s="68">
        <f>IF('📇 INVENTARIO'!O138="","",'📇 INVENTARIO'!O138)</f>
        <v>41.648829999999997</v>
      </c>
      <c r="AH137" s="68">
        <f>IF('📇 INVENTARIO'!P138="","",'📇 INVENTARIO'!P138)</f>
        <v>-4.70777</v>
      </c>
    </row>
    <row r="138" spans="1:34" ht="45" customHeight="1">
      <c r="A138" s="69">
        <f>IF($C138="","",RANK(O138,$O$3:$O$265,0)+COUNTIF($O$3:O138,O138)-1)</f>
        <v>136</v>
      </c>
      <c r="B138" s="70" t="str">
        <f>IF($C138="","",IF(A138&lt;='⚙️ SUPUESTOS'!$C$29,"Fase 1",IF(A138&lt;='⚙️ SUPUESTOS'!$C$30,"Fase 2","Fase 3")))</f>
        <v>Fase 3</v>
      </c>
      <c r="C138" s="71" t="str">
        <f>IF('📇 INVENTARIO'!B139="","",'📇 INVENTARIO'!B139)</f>
        <v>C/ Zorzal, 1</v>
      </c>
      <c r="D138" s="70" t="str">
        <f>IF('📇 INVENTARIO'!C139="","",'📇 INVENTARIO'!C139)</f>
        <v>7623001UM5172D</v>
      </c>
      <c r="E138" s="70" t="str">
        <f>IF('📇 INVENTARIO'!D139="","",'📇 INVENTARIO'!D139)</f>
        <v>4718606027</v>
      </c>
      <c r="F138" s="70" t="str">
        <f>IF('📇 INVENTARIO'!F139="","",'📇 INVENTARIO'!F139)</f>
        <v>E</v>
      </c>
      <c r="G138" s="72">
        <f>IF('📇 INVENTARIO'!G139="","",'📇 INVENTARIO'!G139)</f>
        <v>236</v>
      </c>
      <c r="H138" s="72">
        <f>IF('📇 INVENTARIO'!H139="","",'📇 INVENTARIO'!H139)</f>
        <v>50</v>
      </c>
      <c r="I138" s="72">
        <f>IF('📇 INVENTARIO'!I139="","",'📇 INVENTARIO'!I139)</f>
        <v>108.9</v>
      </c>
      <c r="J138" s="72">
        <f>IF('📇 INVENTARIO'!J139="","",'📇 INVENTARIO'!J139)</f>
        <v>1969</v>
      </c>
      <c r="K138" s="73">
        <f>IF($C138="","",(G138-'⚙️ SUPUESTOS'!$C$20)/('⚙️ SUPUESTOS'!$C$25-'⚙️ SUPUESTOS'!$C$20))</f>
        <v>0.16006884681583478</v>
      </c>
      <c r="L138" s="73">
        <f>IF($C138="","",VLOOKUP($E138,'📊 SECCIONES'!$B$4:$S$9,16,FALSE()))</f>
        <v>0.19481959841367916</v>
      </c>
      <c r="M138" s="73">
        <f>IF($C138="","",VLOOKUP($E138,'📊 SECCIONES'!$B$4:$S$9,17,FALSE()))</f>
        <v>0.2663212435233161</v>
      </c>
      <c r="N138" s="73">
        <f>IF($C138="","",VLOOKUP($E138,'📊 SECCIONES'!$B$4:$S$9,18,FALSE()))</f>
        <v>1</v>
      </c>
      <c r="O138" s="74">
        <f>IF($C138="","",ROUND('⚙️ SUPUESTOS'!$C$21*K138+'⚙️ SUPUESTOS'!$C$22*L138+'⚙️ SUPUESTOS'!$C$23*M138+'⚙️ SUPUESTOS'!$C$24*N138,4))</f>
        <v>0.25819999999999999</v>
      </c>
      <c r="P138" s="75">
        <f>IF($C138="","",VLOOKUP($E138,'📊 SECCIONES'!$B$4:$S$9,7,FALSE()))</f>
        <v>24.5</v>
      </c>
      <c r="Q138" s="76">
        <f>IF($C138="","",VLOOKUP($E138,'📊 SECCIONES'!$B$4:$S$9,8,FALSE()))</f>
        <v>25206</v>
      </c>
      <c r="R138" s="75">
        <f>IF($C138="","",VLOOKUP($E138,'📊 SECCIONES'!$B$4:$S$9,10,FALSE()))</f>
        <v>32.6</v>
      </c>
      <c r="S138" s="72">
        <f>IF('📇 INVENTARIO'!K139="","",'📇 INVENTARIO'!K139)</f>
        <v>6</v>
      </c>
      <c r="T138" s="77" t="str">
        <f t="shared" si="8"/>
        <v>Objetivo: alcanzar calificación C. Actual: Cal.E. SATE fachada + carpinterías doble + instalación fotovoltaica</v>
      </c>
      <c r="U138" s="70" t="str">
        <f t="shared" si="9"/>
        <v>Valorar ascensor (verificar)</v>
      </c>
      <c r="V138" s="78">
        <f>IF('📇 INVENTARIO'!L139="","",'📇 INVENTARIO'!L139)</f>
        <v>193.8</v>
      </c>
      <c r="W138" s="75">
        <f>IF($C138="","",V138*'⚙️ SUPUESTOS'!$C$8*'⚙️ SUPUESTOS'!$C$9)</f>
        <v>40.698</v>
      </c>
      <c r="X138" s="78">
        <f>IF('📇 INVENTARIO'!N139="","",'📇 INVENTARIO'!N139)</f>
        <v>1454</v>
      </c>
      <c r="Y138" s="78">
        <f>IF($C138="","",W138*X138*'⚙️ SUPUESTOS'!$C$7)</f>
        <v>53257.402800000003</v>
      </c>
      <c r="Z138" s="76">
        <f>IF($C138="","",W138*'⚙️ SUPUESTOS'!$C$10)</f>
        <v>54331.83</v>
      </c>
      <c r="AA138" s="76">
        <f>IF($C138="","",Y138*('⚙️ SUPUESTOS'!$C$12*'⚙️ SUPUESTOS'!$C$11+(1-'⚙️ SUPUESTOS'!$C$12)*'⚙️ SUPUESTOS'!$C$13))</f>
        <v>3632.1548709600006</v>
      </c>
      <c r="AB138" s="76">
        <f>IF($C138="","",IF(Y138&gt;0,ROUND(Y138*'⚙️ SUPUESTOS'!$C$12*'⚙️ SUPUESTOS'!$C$11,0),""))</f>
        <v>1331</v>
      </c>
      <c r="AC138" s="76">
        <f>IF($C138="","",IF(Y138&gt;0,ROUND(Y138*(1-'⚙️ SUPUESTOS'!$C$12)*'⚙️ SUPUESTOS'!$C$13,0),""))</f>
        <v>2301</v>
      </c>
      <c r="AD138" s="76">
        <f t="shared" si="10"/>
        <v>36472</v>
      </c>
      <c r="AE138" s="75">
        <f t="shared" si="11"/>
        <v>14.958566451666686</v>
      </c>
      <c r="AF138" s="70" t="str">
        <f>IF($C138="","",IF(AE138="","—",IF(AE138&lt;='⚙️ SUPUESTOS'!$C$32,"✔ Muy recomendable",IF(AE138&lt;='⚙️ SUPUESTOS'!$C$33,"✔ Recomendable","Valorar"))))</f>
        <v>✔ Muy recomendable</v>
      </c>
      <c r="AG138" s="79">
        <f>IF('📇 INVENTARIO'!O139="","",'📇 INVENTARIO'!O139)</f>
        <v>41.647815000000001</v>
      </c>
      <c r="AH138" s="79">
        <f>IF('📇 INVENTARIO'!P139="","",'📇 INVENTARIO'!P139)</f>
        <v>-4.7110560000000001</v>
      </c>
    </row>
    <row r="139" spans="1:34" ht="45" customHeight="1">
      <c r="A139" s="58">
        <f>IF($C139="","",RANK(O139,$O$3:$O$265,0)+COUNTIF($O$3:O139,O139)-1)</f>
        <v>137</v>
      </c>
      <c r="B139" s="59" t="str">
        <f>IF($C139="","",IF(A139&lt;='⚙️ SUPUESTOS'!$C$29,"Fase 1",IF(A139&lt;='⚙️ SUPUESTOS'!$C$30,"Fase 2","Fase 3")))</f>
        <v>Fase 3</v>
      </c>
      <c r="C139" s="60" t="str">
        <f>IF('📇 INVENTARIO'!B140="","",'📇 INVENTARIO'!B140)</f>
        <v>C/ Faisán, 14</v>
      </c>
      <c r="D139" s="59" t="str">
        <f>IF('📇 INVENTARIO'!C140="","",'📇 INVENTARIO'!C140)</f>
        <v>7723402UM5172D</v>
      </c>
      <c r="E139" s="59" t="str">
        <f>IF('📇 INVENTARIO'!D140="","",'📇 INVENTARIO'!D140)</f>
        <v>4718606028</v>
      </c>
      <c r="F139" s="59" t="str">
        <f>IF('📇 INVENTARIO'!F140="","",'📇 INVENTARIO'!F140)</f>
        <v>E</v>
      </c>
      <c r="G139" s="61">
        <f>IF('📇 INVENTARIO'!G140="","",'📇 INVENTARIO'!G140)</f>
        <v>240</v>
      </c>
      <c r="H139" s="61">
        <f>IF('📇 INVENTARIO'!H140="","",'📇 INVENTARIO'!H140)</f>
        <v>49.5</v>
      </c>
      <c r="I139" s="61">
        <f>IF('📇 INVENTARIO'!I140="","",'📇 INVENTARIO'!I140)</f>
        <v>122.9</v>
      </c>
      <c r="J139" s="61">
        <f>IF('📇 INVENTARIO'!J140="","",'📇 INVENTARIO'!J140)</f>
        <v>1965</v>
      </c>
      <c r="K139" s="62">
        <f>IF($C139="","",(G139-'⚙️ SUPUESTOS'!$C$20)/('⚙️ SUPUESTOS'!$C$25-'⚙️ SUPUESTOS'!$C$20))</f>
        <v>0.16695352839931152</v>
      </c>
      <c r="L139" s="62">
        <f>IF($C139="","",VLOOKUP($E139,'📊 SECCIONES'!$B$4:$S$9,16,FALSE()))</f>
        <v>0.24395028956990591</v>
      </c>
      <c r="M139" s="62">
        <f>IF($C139="","",VLOOKUP($E139,'📊 SECCIONES'!$B$4:$S$9,17,FALSE()))</f>
        <v>0.34507772020725386</v>
      </c>
      <c r="N139" s="62">
        <f>IF($C139="","",VLOOKUP($E139,'📊 SECCIONES'!$B$4:$S$9,18,FALSE()))</f>
        <v>0.70909090909090911</v>
      </c>
      <c r="O139" s="63">
        <f>IF($C139="","",ROUND('⚙️ SUPUESTOS'!$C$21*K139+'⚙️ SUPUESTOS'!$C$22*L139+'⚙️ SUPUESTOS'!$C$23*M139+'⚙️ SUPUESTOS'!$C$24*N139,4))</f>
        <v>0.2576</v>
      </c>
      <c r="P139" s="64">
        <f>IF($C139="","",VLOOKUP($E139,'📊 SECCIONES'!$B$4:$S$9,7,FALSE()))</f>
        <v>29.81</v>
      </c>
      <c r="Q139" s="65">
        <f>IF($C139="","",VLOOKUP($E139,'📊 SECCIONES'!$B$4:$S$9,8,FALSE()))</f>
        <v>23665</v>
      </c>
      <c r="R139" s="64">
        <f>IF($C139="","",VLOOKUP($E139,'📊 SECCIONES'!$B$4:$S$9,10,FALSE()))</f>
        <v>26.2</v>
      </c>
      <c r="S139" s="61">
        <f>IF('📇 INVENTARIO'!K140="","",'📇 INVENTARIO'!K140)</f>
        <v>5</v>
      </c>
      <c r="T139" s="66" t="str">
        <f t="shared" si="8"/>
        <v>Objetivo: alcanzar calificación C. Actual: Cal.E. SATE fachada + carpinterías doble + instalación fotovoltaica</v>
      </c>
      <c r="U139" s="59" t="str">
        <f t="shared" si="9"/>
        <v>Valorar ascensor (verificar)</v>
      </c>
      <c r="V139" s="67">
        <f>IF('📇 INVENTARIO'!L140="","",'📇 INVENTARIO'!L140)</f>
        <v>198.1</v>
      </c>
      <c r="W139" s="64">
        <f>IF($C139="","",V139*'⚙️ SUPUESTOS'!$C$8*'⚙️ SUPUESTOS'!$C$9)</f>
        <v>41.600999999999999</v>
      </c>
      <c r="X139" s="67">
        <f>IF('📇 INVENTARIO'!N140="","",'📇 INVENTARIO'!N140)</f>
        <v>1429</v>
      </c>
      <c r="Y139" s="67">
        <f>IF($C139="","",W139*X139*'⚙️ SUPUESTOS'!$C$7)</f>
        <v>53503.0461</v>
      </c>
      <c r="Z139" s="65">
        <f>IF($C139="","",W139*'⚙️ SUPUESTOS'!$C$10)</f>
        <v>55537.334999999999</v>
      </c>
      <c r="AA139" s="65">
        <f>IF($C139="","",Y139*('⚙️ SUPUESTOS'!$C$12*'⚙️ SUPUESTOS'!$C$11+(1-'⚙️ SUPUESTOS'!$C$12)*'⚙️ SUPUESTOS'!$C$13))</f>
        <v>3648.9077440200003</v>
      </c>
      <c r="AB139" s="65">
        <f>IF($C139="","",IF(Y139&gt;0,ROUND(Y139*'⚙️ SUPUESTOS'!$C$12*'⚙️ SUPUESTOS'!$C$11,0),""))</f>
        <v>1338</v>
      </c>
      <c r="AC139" s="65">
        <f>IF($C139="","",IF(Y139&gt;0,ROUND(Y139*(1-'⚙️ SUPUESTOS'!$C$12)*'⚙️ SUPUESTOS'!$C$13,0),""))</f>
        <v>2311</v>
      </c>
      <c r="AD139" s="65">
        <f t="shared" si="10"/>
        <v>35685</v>
      </c>
      <c r="AE139" s="64">
        <f t="shared" si="11"/>
        <v>15.220262855649658</v>
      </c>
      <c r="AF139" s="59" t="str">
        <f>IF($C139="","",IF(AE139="","—",IF(AE139&lt;='⚙️ SUPUESTOS'!$C$32,"✔ Muy recomendable",IF(AE139&lt;='⚙️ SUPUESTOS'!$C$33,"✔ Recomendable","Valorar"))))</f>
        <v>✔ Recomendable</v>
      </c>
      <c r="AG139" s="68">
        <f>IF('📇 INVENTARIO'!O140="","",'📇 INVENTARIO'!O140)</f>
        <v>41.648029999999999</v>
      </c>
      <c r="AH139" s="68">
        <f>IF('📇 INVENTARIO'!P140="","",'📇 INVENTARIO'!P140)</f>
        <v>-4.7092700000000001</v>
      </c>
    </row>
    <row r="140" spans="1:34" ht="45" customHeight="1">
      <c r="A140" s="69">
        <f>IF($C140="","",RANK(O140,$O$3:$O$265,0)+COUNTIF($O$3:O140,O140)-1)</f>
        <v>138</v>
      </c>
      <c r="B140" s="70" t="str">
        <f>IF($C140="","",IF(A140&lt;='⚙️ SUPUESTOS'!$C$29,"Fase 1",IF(A140&lt;='⚙️ SUPUESTOS'!$C$30,"Fase 2","Fase 3")))</f>
        <v>Fase 3</v>
      </c>
      <c r="C140" s="71" t="str">
        <f>IF('📇 INVENTARIO'!B141="","",'📇 INVENTARIO'!B141)</f>
        <v>C/ Cigüeña, 37</v>
      </c>
      <c r="D140" s="70" t="str">
        <f>IF('📇 INVENTARIO'!C141="","",'📇 INVENTARIO'!C141)</f>
        <v>7723403UM5172D</v>
      </c>
      <c r="E140" s="70" t="str">
        <f>IF('📇 INVENTARIO'!D141="","",'📇 INVENTARIO'!D141)</f>
        <v>4718606028</v>
      </c>
      <c r="F140" s="70" t="str">
        <f>IF('📇 INVENTARIO'!F141="","",'📇 INVENTARIO'!F141)</f>
        <v>E</v>
      </c>
      <c r="G140" s="72">
        <f>IF('📇 INVENTARIO'!G141="","",'📇 INVENTARIO'!G141)</f>
        <v>240</v>
      </c>
      <c r="H140" s="72">
        <f>IF('📇 INVENTARIO'!H141="","",'📇 INVENTARIO'!H141)</f>
        <v>50</v>
      </c>
      <c r="I140" s="72">
        <f>IF('📇 INVENTARIO'!I141="","",'📇 INVENTARIO'!I141)</f>
        <v>119</v>
      </c>
      <c r="J140" s="72">
        <f>IF('📇 INVENTARIO'!J141="","",'📇 INVENTARIO'!J141)</f>
        <v>1965</v>
      </c>
      <c r="K140" s="73">
        <f>IF($C140="","",(G140-'⚙️ SUPUESTOS'!$C$20)/('⚙️ SUPUESTOS'!$C$25-'⚙️ SUPUESTOS'!$C$20))</f>
        <v>0.16695352839931152</v>
      </c>
      <c r="L140" s="73">
        <f>IF($C140="","",VLOOKUP($E140,'📊 SECCIONES'!$B$4:$S$9,16,FALSE()))</f>
        <v>0.24395028956990591</v>
      </c>
      <c r="M140" s="73">
        <f>IF($C140="","",VLOOKUP($E140,'📊 SECCIONES'!$B$4:$S$9,17,FALSE()))</f>
        <v>0.34507772020725386</v>
      </c>
      <c r="N140" s="73">
        <f>IF($C140="","",VLOOKUP($E140,'📊 SECCIONES'!$B$4:$S$9,18,FALSE()))</f>
        <v>0.70909090909090911</v>
      </c>
      <c r="O140" s="74">
        <f>IF($C140="","",ROUND('⚙️ SUPUESTOS'!$C$21*K140+'⚙️ SUPUESTOS'!$C$22*L140+'⚙️ SUPUESTOS'!$C$23*M140+'⚙️ SUPUESTOS'!$C$24*N140,4))</f>
        <v>0.2576</v>
      </c>
      <c r="P140" s="75">
        <f>IF($C140="","",VLOOKUP($E140,'📊 SECCIONES'!$B$4:$S$9,7,FALSE()))</f>
        <v>29.81</v>
      </c>
      <c r="Q140" s="76">
        <f>IF($C140="","",VLOOKUP($E140,'📊 SECCIONES'!$B$4:$S$9,8,FALSE()))</f>
        <v>23665</v>
      </c>
      <c r="R140" s="75">
        <f>IF($C140="","",VLOOKUP($E140,'📊 SECCIONES'!$B$4:$S$9,10,FALSE()))</f>
        <v>26.2</v>
      </c>
      <c r="S140" s="72">
        <f>IF('📇 INVENTARIO'!K141="","",'📇 INVENTARIO'!K141)</f>
        <v>5</v>
      </c>
      <c r="T140" s="77" t="str">
        <f t="shared" si="8"/>
        <v>Objetivo: alcanzar calificación C. Actual: Cal.E. SATE fachada + carpinterías doble + instalación fotovoltaica</v>
      </c>
      <c r="U140" s="70" t="str">
        <f t="shared" si="9"/>
        <v>Valorar ascensor (verificar)</v>
      </c>
      <c r="V140" s="78">
        <f>IF('📇 INVENTARIO'!L141="","",'📇 INVENTARIO'!L141)</f>
        <v>156.69999999999999</v>
      </c>
      <c r="W140" s="75">
        <f>IF($C140="","",V140*'⚙️ SUPUESTOS'!$C$8*'⚙️ SUPUESTOS'!$C$9)</f>
        <v>32.906999999999996</v>
      </c>
      <c r="X140" s="78">
        <f>IF('📇 INVENTARIO'!N141="","",'📇 INVENTARIO'!N141)</f>
        <v>1403</v>
      </c>
      <c r="Y140" s="78">
        <f>IF($C140="","",W140*X140*'⚙️ SUPUESTOS'!$C$7)</f>
        <v>41551.668899999997</v>
      </c>
      <c r="Z140" s="76">
        <f>IF($C140="","",W140*'⚙️ SUPUESTOS'!$C$10)</f>
        <v>43930.844999999994</v>
      </c>
      <c r="AA140" s="76">
        <f>IF($C140="","",Y140*('⚙️ SUPUESTOS'!$C$12*'⚙️ SUPUESTOS'!$C$11+(1-'⚙️ SUPUESTOS'!$C$12)*'⚙️ SUPUESTOS'!$C$13))</f>
        <v>2833.8238189800004</v>
      </c>
      <c r="AB140" s="76">
        <f>IF($C140="","",IF(Y140&gt;0,ROUND(Y140*'⚙️ SUPUESTOS'!$C$12*'⚙️ SUPUESTOS'!$C$11,0),""))</f>
        <v>1039</v>
      </c>
      <c r="AC140" s="76">
        <f>IF($C140="","",IF(Y140&gt;0,ROUND(Y140*(1-'⚙️ SUPUESTOS'!$C$12)*'⚙️ SUPUESTOS'!$C$13,0),""))</f>
        <v>1795</v>
      </c>
      <c r="AD140" s="76">
        <f t="shared" si="10"/>
        <v>26915</v>
      </c>
      <c r="AE140" s="75">
        <f t="shared" si="11"/>
        <v>15.502320470936105</v>
      </c>
      <c r="AF140" s="70" t="str">
        <f>IF($C140="","",IF(AE140="","—",IF(AE140&lt;='⚙️ SUPUESTOS'!$C$32,"✔ Muy recomendable",IF(AE140&lt;='⚙️ SUPUESTOS'!$C$33,"✔ Recomendable","Valorar"))))</f>
        <v>✔ Recomendable</v>
      </c>
      <c r="AG140" s="79">
        <f>IF('📇 INVENTARIO'!O141="","",'📇 INVENTARIO'!O141)</f>
        <v>41.647860000000001</v>
      </c>
      <c r="AH140" s="79">
        <f>IF('📇 INVENTARIO'!P141="","",'📇 INVENTARIO'!P141)</f>
        <v>-4.7092700000000001</v>
      </c>
    </row>
    <row r="141" spans="1:34" ht="45" customHeight="1">
      <c r="A141" s="69">
        <f>IF($C141="","",RANK(O141,$O$3:$O$265,0)+COUNTIF($O$3:O141,O141)-1)</f>
        <v>139</v>
      </c>
      <c r="B141" s="70" t="str">
        <f>IF($C141="","",IF(A141&lt;='⚙️ SUPUESTOS'!$C$29,"Fase 1",IF(A141&lt;='⚙️ SUPUESTOS'!$C$30,"Fase 2","Fase 3")))</f>
        <v>Fase 3</v>
      </c>
      <c r="C141" s="71" t="str">
        <f>IF('📇 INVENTARIO'!B143="","",'📇 INVENTARIO'!B143)</f>
        <v>C/ Faisán, 4</v>
      </c>
      <c r="D141" s="70" t="str">
        <f>IF('📇 INVENTARIO'!C143="","",'📇 INVENTARIO'!C143)</f>
        <v>7624401UM5172D</v>
      </c>
      <c r="E141" s="70" t="str">
        <f>IF('📇 INVENTARIO'!D143="","",'📇 INVENTARIO'!D143)</f>
        <v>4718606027</v>
      </c>
      <c r="F141" s="70" t="str">
        <f>IF('📇 INVENTARIO'!F143="","",'📇 INVENTARIO'!F143)</f>
        <v>E</v>
      </c>
      <c r="G141" s="72">
        <f>IF('📇 INVENTARIO'!G143="","",'📇 INVENTARIO'!G143)</f>
        <v>232</v>
      </c>
      <c r="H141" s="72">
        <f>IF('📇 INVENTARIO'!H143="","",'📇 INVENTARIO'!H143)</f>
        <v>49</v>
      </c>
      <c r="I141" s="72">
        <f>IF('📇 INVENTARIO'!I143="","",'📇 INVENTARIO'!I143)</f>
        <v>102.3</v>
      </c>
      <c r="J141" s="72">
        <f>IF('📇 INVENTARIO'!J143="","",'📇 INVENTARIO'!J143)</f>
        <v>1977</v>
      </c>
      <c r="K141" s="73">
        <f>IF($C141="","",(G141-'⚙️ SUPUESTOS'!$C$20)/('⚙️ SUPUESTOS'!$C$25-'⚙️ SUPUESTOS'!$C$20))</f>
        <v>0.153184165232358</v>
      </c>
      <c r="L141" s="73">
        <f>IF($C141="","",VLOOKUP($E141,'📊 SECCIONES'!$B$4:$S$9,16,FALSE()))</f>
        <v>0.19481959841367916</v>
      </c>
      <c r="M141" s="73">
        <f>IF($C141="","",VLOOKUP($E141,'📊 SECCIONES'!$B$4:$S$9,17,FALSE()))</f>
        <v>0.2663212435233161</v>
      </c>
      <c r="N141" s="73">
        <f>IF($C141="","",VLOOKUP($E141,'📊 SECCIONES'!$B$4:$S$9,18,FALSE()))</f>
        <v>1</v>
      </c>
      <c r="O141" s="74">
        <f>IF($C141="","",ROUND('⚙️ SUPUESTOS'!$C$21*K141+'⚙️ SUPUESTOS'!$C$22*L141+'⚙️ SUPUESTOS'!$C$23*M141+'⚙️ SUPUESTOS'!$C$24*N141,4))</f>
        <v>0.25440000000000002</v>
      </c>
      <c r="P141" s="75">
        <f>IF($C141="","",VLOOKUP($E141,'📊 SECCIONES'!$B$4:$S$9,7,FALSE()))</f>
        <v>24.5</v>
      </c>
      <c r="Q141" s="76">
        <f>IF($C141="","",VLOOKUP($E141,'📊 SECCIONES'!$B$4:$S$9,8,FALSE()))</f>
        <v>25206</v>
      </c>
      <c r="R141" s="75">
        <f>IF($C141="","",VLOOKUP($E141,'📊 SECCIONES'!$B$4:$S$9,10,FALSE()))</f>
        <v>32.6</v>
      </c>
      <c r="S141" s="72">
        <f>IF('📇 INVENTARIO'!K143="","",'📇 INVENTARIO'!K143)</f>
        <v>7</v>
      </c>
      <c r="T141" s="77" t="str">
        <f t="shared" si="8"/>
        <v>Objetivo: alcanzar calificación C. Actual: Cal.E. SATE fachada + carpinterías doble + instalación fotovoltaica</v>
      </c>
      <c r="U141" s="70" t="str">
        <f t="shared" si="9"/>
        <v>Valorar ascensor (verificar)</v>
      </c>
      <c r="V141" s="78">
        <f>IF('📇 INVENTARIO'!L143="","",'📇 INVENTARIO'!L143)</f>
        <v>927.2</v>
      </c>
      <c r="W141" s="75">
        <f>IF($C141="","",V141*'⚙️ SUPUESTOS'!$C$8*'⚙️ SUPUESTOS'!$C$9)</f>
        <v>194.71199999999999</v>
      </c>
      <c r="X141" s="78">
        <f>IF('📇 INVENTARIO'!N143="","",'📇 INVENTARIO'!N143)</f>
        <v>1469</v>
      </c>
      <c r="Y141" s="78">
        <f>IF($C141="","",W141*X141*'⚙️ SUPUESTOS'!$C$7)</f>
        <v>257428.73519999997</v>
      </c>
      <c r="Z141" s="76">
        <f>IF($C141="","",W141*'⚙️ SUPUESTOS'!$C$10)</f>
        <v>259940.52</v>
      </c>
      <c r="AA141" s="76">
        <f>IF($C141="","",Y141*('⚙️ SUPUESTOS'!$C$12*'⚙️ SUPUESTOS'!$C$11+(1-'⚙️ SUPUESTOS'!$C$12)*'⚙️ SUPUESTOS'!$C$13))</f>
        <v>17556.639740639999</v>
      </c>
      <c r="AB141" s="76">
        <f>IF($C141="","",IF(Y141&gt;0,ROUND(Y141*'⚙️ SUPUESTOS'!$C$12*'⚙️ SUPUESTOS'!$C$11,0),""))</f>
        <v>6436</v>
      </c>
      <c r="AC141" s="76">
        <f>IF($C141="","",IF(Y141&gt;0,ROUND(Y141*(1-'⚙️ SUPUESTOS'!$C$12)*'⚙️ SUPUESTOS'!$C$13,0),""))</f>
        <v>11121</v>
      </c>
      <c r="AD141" s="65">
        <f t="shared" si="10"/>
        <v>178975</v>
      </c>
      <c r="AE141" s="64">
        <f t="shared" si="11"/>
        <v>14.80582411213299</v>
      </c>
      <c r="AF141" s="59" t="str">
        <f>IF($C141="","",IF(AE141="","—",IF(AE141&lt;='⚙️ SUPUESTOS'!$C$32,"✔ Muy recomendable",IF(AE141&lt;='⚙️ SUPUESTOS'!$C$33,"✔ Recomendable","Valorar"))))</f>
        <v>✔ Muy recomendable</v>
      </c>
      <c r="AG141" s="68">
        <f>IF('📇 INVENTARIO'!O142="","",'📇 INVENTARIO'!O142)</f>
        <v>41.650230000000001</v>
      </c>
      <c r="AH141" s="68">
        <f>IF('📇 INVENTARIO'!P142="","",'📇 INVENTARIO'!P142)</f>
        <v>-4.7089600000000003</v>
      </c>
    </row>
    <row r="142" spans="1:34" ht="45" customHeight="1">
      <c r="A142" s="58">
        <f>IF($C142="","",RANK(O142,$O$3:$O$265,0)+COUNTIF($O$3:O142,O142)-1)</f>
        <v>140</v>
      </c>
      <c r="B142" s="59" t="str">
        <f>IF($C142="","",IF(A142&lt;='⚙️ SUPUESTOS'!$C$29,"Fase 1",IF(A142&lt;='⚙️ SUPUESTOS'!$C$30,"Fase 2","Fase 3")))</f>
        <v>Fase 3</v>
      </c>
      <c r="C142" s="60" t="str">
        <f>IF('📇 INVENTARIO'!B142="","",'📇 INVENTARIO'!B142)</f>
        <v>C/ Cisne, 7</v>
      </c>
      <c r="D142" s="59" t="str">
        <f>IF('📇 INVENTARIO'!C142="","",'📇 INVENTARIO'!C142)</f>
        <v>7825703UM5172F</v>
      </c>
      <c r="E142" s="59" t="str">
        <f>IF('📇 INVENTARIO'!D142="","",'📇 INVENTARIO'!D142)</f>
        <v>4718606023</v>
      </c>
      <c r="F142" s="59" t="str">
        <f>IF('📇 INVENTARIO'!F142="","",'📇 INVENTARIO'!F142)</f>
        <v>E</v>
      </c>
      <c r="G142" s="61">
        <f>IF('📇 INVENTARIO'!G142="","",'📇 INVENTARIO'!G142)</f>
        <v>168</v>
      </c>
      <c r="H142" s="61">
        <f>IF('📇 INVENTARIO'!H142="","",'📇 INVENTARIO'!H142)</f>
        <v>34</v>
      </c>
      <c r="I142" s="61">
        <f>IF('📇 INVENTARIO'!I142="","",'📇 INVENTARIO'!I142)</f>
        <v>77.3</v>
      </c>
      <c r="J142" s="61">
        <f>IF('📇 INVENTARIO'!J142="","",'📇 INVENTARIO'!J142)</f>
        <v>1968</v>
      </c>
      <c r="K142" s="62">
        <f>IF($C142="","",(G142-'⚙️ SUPUESTOS'!$C$20)/('⚙️ SUPUESTOS'!$C$25-'⚙️ SUPUESTOS'!$C$20))</f>
        <v>4.3029259896729774E-2</v>
      </c>
      <c r="L142" s="62">
        <f>IF($C142="","",VLOOKUP($E142,'📊 SECCIONES'!$B$4:$S$9,16,FALSE()))</f>
        <v>0.54128061278831963</v>
      </c>
      <c r="M142" s="62">
        <f>IF($C142="","",VLOOKUP($E142,'📊 SECCIONES'!$B$4:$S$9,17,FALSE()))</f>
        <v>0.59585492227979275</v>
      </c>
      <c r="N142" s="62">
        <f>IF($C142="","",VLOOKUP($E142,'📊 SECCIONES'!$B$4:$S$9,18,FALSE()))</f>
        <v>0.28636363636363632</v>
      </c>
      <c r="O142" s="63">
        <f>IF($C142="","",ROUND('⚙️ SUPUESTOS'!$C$21*K142+'⚙️ SUPUESTOS'!$C$22*L142+'⚙️ SUPUESTOS'!$C$23*M142+'⚙️ SUPUESTOS'!$C$24*N142,4))</f>
        <v>0.25190000000000001</v>
      </c>
      <c r="P142" s="64">
        <f>IF($C142="","",VLOOKUP($E142,'📊 SECCIONES'!$B$4:$S$9,7,FALSE()))</f>
        <v>39.409999999999997</v>
      </c>
      <c r="Q142" s="65">
        <f>IF($C142="","",VLOOKUP($E142,'📊 SECCIONES'!$B$4:$S$9,8,FALSE()))</f>
        <v>22486</v>
      </c>
      <c r="R142" s="64">
        <f>IF($C142="","",VLOOKUP($E142,'📊 SECCIONES'!$B$4:$S$9,10,FALSE()))</f>
        <v>16.899999999999999</v>
      </c>
      <c r="S142" s="61">
        <f>IF('📇 INVENTARIO'!K142="","",'📇 INVENTARIO'!K142)</f>
        <v>5</v>
      </c>
      <c r="T142" s="66" t="str">
        <f t="shared" si="8"/>
        <v>Objetivo: alcanzar calificación C. Actual: Cal.E. SATE fachada + carpinterías doble + instalación fotovoltaica</v>
      </c>
      <c r="U142" s="59" t="str">
        <f t="shared" si="9"/>
        <v>Valorar ascensor (verificar)</v>
      </c>
      <c r="V142" s="67">
        <f>IF('📇 INVENTARIO'!L142="","",'📇 INVENTARIO'!L142)</f>
        <v>453.8</v>
      </c>
      <c r="W142" s="64">
        <f>IF($C142="","",V142*'⚙️ SUPUESTOS'!$C$8*'⚙️ SUPUESTOS'!$C$9)</f>
        <v>95.298000000000002</v>
      </c>
      <c r="X142" s="67">
        <f>IF('📇 INVENTARIO'!N142="","",'📇 INVENTARIO'!N142)</f>
        <v>1522</v>
      </c>
      <c r="Y142" s="67">
        <f>IF($C142="","",W142*X142*'⚙️ SUPUESTOS'!$C$7)</f>
        <v>130539.20040000002</v>
      </c>
      <c r="Z142" s="65">
        <f>IF($C142="","",W142*'⚙️ SUPUESTOS'!$C$10)</f>
        <v>127222.83</v>
      </c>
      <c r="AA142" s="65">
        <f>IF($C142="","",Y142*('⚙️ SUPUESTOS'!$C$12*'⚙️ SUPUESTOS'!$C$11+(1-'⚙️ SUPUESTOS'!$C$12)*'⚙️ SUPUESTOS'!$C$13))</f>
        <v>8902.7734672800034</v>
      </c>
      <c r="AB142" s="65">
        <f>IF($C142="","",IF(Y142&gt;0,ROUND(Y142*'⚙️ SUPUESTOS'!$C$12*'⚙️ SUPUESTOS'!$C$11,0),""))</f>
        <v>3263</v>
      </c>
      <c r="AC142" s="65">
        <f>IF($C142="","",IF(Y142&gt;0,ROUND(Y142*(1-'⚙️ SUPUESTOS'!$C$12)*'⚙️ SUPUESTOS'!$C$13,0),""))</f>
        <v>5639</v>
      </c>
      <c r="AD142" s="76">
        <f t="shared" si="10"/>
        <v>95347</v>
      </c>
      <c r="AE142" s="75">
        <f t="shared" si="11"/>
        <v>14.290246794167775</v>
      </c>
      <c r="AF142" s="70" t="str">
        <f>IF($C142="","",IF(AE142="","—",IF(AE142&lt;='⚙️ SUPUESTOS'!$C$32,"✔ Muy recomendable",IF(AE142&lt;='⚙️ SUPUESTOS'!$C$33,"✔ Recomendable","Valorar"))))</f>
        <v>✔ Muy recomendable</v>
      </c>
      <c r="AG142" s="79">
        <f>IF('📇 INVENTARIO'!O143="","",'📇 INVENTARIO'!O143)</f>
        <v>41.648690000000002</v>
      </c>
      <c r="AH142" s="79">
        <f>IF('📇 INVENTARIO'!P143="","",'📇 INVENTARIO'!P143)</f>
        <v>-4.71068</v>
      </c>
    </row>
    <row r="143" spans="1:34" ht="45" customHeight="1">
      <c r="A143" s="58">
        <f>IF($C143="","",RANK(O143,$O$3:$O$265,0)+COUNTIF($O$3:O143,O143)-1)</f>
        <v>141</v>
      </c>
      <c r="B143" s="59" t="str">
        <f>IF($C143="","",IF(A143&lt;='⚙️ SUPUESTOS'!$C$29,"Fase 1",IF(A143&lt;='⚙️ SUPUESTOS'!$C$30,"Fase 2","Fase 3")))</f>
        <v>Fase 3</v>
      </c>
      <c r="C143" s="60" t="str">
        <f>IF('📇 INVENTARIO'!B144="","",'📇 INVENTARIO'!B144)</f>
        <v>C/ Águila, 10</v>
      </c>
      <c r="D143" s="59" t="str">
        <f>IF('📇 INVENTARIO'!C144="","",'📇 INVENTARIO'!C144)</f>
        <v>7723411UM5172D</v>
      </c>
      <c r="E143" s="59" t="str">
        <f>IF('📇 INVENTARIO'!D144="","",'📇 INVENTARIO'!D144)</f>
        <v>4718606028</v>
      </c>
      <c r="F143" s="59" t="str">
        <f>IF('📇 INVENTARIO'!F144="","",'📇 INVENTARIO'!F144)</f>
        <v>E</v>
      </c>
      <c r="G143" s="61">
        <f>IF('📇 INVENTARIO'!G144="","",'📇 INVENTARIO'!G144)</f>
        <v>234</v>
      </c>
      <c r="H143" s="61">
        <f>IF('📇 INVENTARIO'!H144="","",'📇 INVENTARIO'!H144)</f>
        <v>48.5</v>
      </c>
      <c r="I143" s="61">
        <f>IF('📇 INVENTARIO'!I144="","",'📇 INVENTARIO'!I144)</f>
        <v>117.5</v>
      </c>
      <c r="J143" s="61">
        <f>IF('📇 INVENTARIO'!J144="","",'📇 INVENTARIO'!J144)</f>
        <v>1967</v>
      </c>
      <c r="K143" s="62">
        <f>IF($C143="","",(G143-'⚙️ SUPUESTOS'!$C$20)/('⚙️ SUPUESTOS'!$C$25-'⚙️ SUPUESTOS'!$C$20))</f>
        <v>0.15662650602409639</v>
      </c>
      <c r="L143" s="62">
        <f>IF($C143="","",VLOOKUP($E143,'📊 SECCIONES'!$B$4:$S$9,16,FALSE()))</f>
        <v>0.24395028956990591</v>
      </c>
      <c r="M143" s="62">
        <f>IF($C143="","",VLOOKUP($E143,'📊 SECCIONES'!$B$4:$S$9,17,FALSE()))</f>
        <v>0.34507772020725386</v>
      </c>
      <c r="N143" s="62">
        <f>IF($C143="","",VLOOKUP($E143,'📊 SECCIONES'!$B$4:$S$9,18,FALSE()))</f>
        <v>0.70909090909090911</v>
      </c>
      <c r="O143" s="63">
        <f>IF($C143="","",ROUND('⚙️ SUPUESTOS'!$C$21*K143+'⚙️ SUPUESTOS'!$C$22*L143+'⚙️ SUPUESTOS'!$C$23*M143+'⚙️ SUPUESTOS'!$C$24*N143,4))</f>
        <v>0.25190000000000001</v>
      </c>
      <c r="P143" s="64">
        <f>IF($C143="","",VLOOKUP($E143,'📊 SECCIONES'!$B$4:$S$9,7,FALSE()))</f>
        <v>29.81</v>
      </c>
      <c r="Q143" s="65">
        <f>IF($C143="","",VLOOKUP($E143,'📊 SECCIONES'!$B$4:$S$9,8,FALSE()))</f>
        <v>23665</v>
      </c>
      <c r="R143" s="64">
        <f>IF($C143="","",VLOOKUP($E143,'📊 SECCIONES'!$B$4:$S$9,10,FALSE()))</f>
        <v>26.2</v>
      </c>
      <c r="S143" s="61">
        <f>IF('📇 INVENTARIO'!K144="","",'📇 INVENTARIO'!K144)</f>
        <v>6</v>
      </c>
      <c r="T143" s="66" t="str">
        <f t="shared" si="8"/>
        <v>Objetivo: alcanzar calificación C. Actual: Cal.E. SATE fachada + carpinterías doble + instalación fotovoltaica</v>
      </c>
      <c r="U143" s="59" t="str">
        <f t="shared" si="9"/>
        <v>Valorar ascensor (verificar)</v>
      </c>
      <c r="V143" s="67">
        <f>IF('📇 INVENTARIO'!L144="","",'📇 INVENTARIO'!L144)</f>
        <v>368.9</v>
      </c>
      <c r="W143" s="64">
        <f>IF($C143="","",V143*'⚙️ SUPUESTOS'!$C$8*'⚙️ SUPUESTOS'!$C$9)</f>
        <v>77.468999999999994</v>
      </c>
      <c r="X143" s="67">
        <f>IF('📇 INVENTARIO'!N144="","",'📇 INVENTARIO'!N144)</f>
        <v>1369</v>
      </c>
      <c r="Y143" s="67">
        <f>IF($C143="","",W143*X143*'⚙️ SUPUESTOS'!$C$7)</f>
        <v>95449.554899999988</v>
      </c>
      <c r="Z143" s="65">
        <f>IF($C143="","",W143*'⚙️ SUPUESTOS'!$C$10)</f>
        <v>103421.11499999999</v>
      </c>
      <c r="AA143" s="65">
        <f>IF($C143="","",Y143*('⚙️ SUPUESTOS'!$C$12*'⚙️ SUPUESTOS'!$C$11+(1-'⚙️ SUPUESTOS'!$C$12)*'⚙️ SUPUESTOS'!$C$13))</f>
        <v>6509.6596441800002</v>
      </c>
      <c r="AB143" s="65">
        <f>IF($C143="","",IF(Y143&gt;0,ROUND(Y143*'⚙️ SUPUESTOS'!$C$12*'⚙️ SUPUESTOS'!$C$11,0),""))</f>
        <v>2386</v>
      </c>
      <c r="AC143" s="65">
        <f>IF($C143="","",IF(Y143&gt;0,ROUND(Y143*(1-'⚙️ SUPUESTOS'!$C$12)*'⚙️ SUPUESTOS'!$C$13,0),""))</f>
        <v>4123</v>
      </c>
      <c r="AD143" s="65">
        <f t="shared" si="10"/>
        <v>59320</v>
      </c>
      <c r="AE143" s="64">
        <f t="shared" si="11"/>
        <v>15.887330621419547</v>
      </c>
      <c r="AF143" s="59" t="str">
        <f>IF($C143="","",IF(AE143="","—",IF(AE143&lt;='⚙️ SUPUESTOS'!$C$32,"✔ Muy recomendable",IF(AE143&lt;='⚙️ SUPUESTOS'!$C$33,"✔ Recomendable","Valorar"))))</f>
        <v>✔ Recomendable</v>
      </c>
      <c r="AG143" s="68">
        <f>IF('📇 INVENTARIO'!O144="","",'📇 INVENTARIO'!O144)</f>
        <v>41.647950000000002</v>
      </c>
      <c r="AH143" s="68">
        <f>IF('📇 INVENTARIO'!P144="","",'📇 INVENTARIO'!P144)</f>
        <v>-4.7098100000000001</v>
      </c>
    </row>
    <row r="144" spans="1:34" ht="45" customHeight="1">
      <c r="A144" s="69">
        <f>IF($C144="","",RANK(O144,$O$3:$O$265,0)+COUNTIF($O$3:O144,O144)-1)</f>
        <v>142</v>
      </c>
      <c r="B144" s="70" t="str">
        <f>IF($C144="","",IF(A144&lt;='⚙️ SUPUESTOS'!$C$29,"Fase 1",IF(A144&lt;='⚙️ SUPUESTOS'!$C$30,"Fase 2","Fase 3")))</f>
        <v>Fase 3</v>
      </c>
      <c r="C144" s="71" t="str">
        <f>IF('📇 INVENTARIO'!B145="","",'📇 INVENTARIO'!B145)</f>
        <v>C/ Pavo Real, 7</v>
      </c>
      <c r="D144" s="70" t="str">
        <f>IF('📇 INVENTARIO'!C145="","",'📇 INVENTARIO'!C145)</f>
        <v>7623801UM5172D</v>
      </c>
      <c r="E144" s="70" t="str">
        <f>IF('📇 INVENTARIO'!D145="","",'📇 INVENTARIO'!D145)</f>
        <v>4718606027</v>
      </c>
      <c r="F144" s="70" t="str">
        <f>IF('📇 INVENTARIO'!F145="","",'📇 INVENTARIO'!F145)</f>
        <v>E</v>
      </c>
      <c r="G144" s="72">
        <f>IF('📇 INVENTARIO'!G145="","",'📇 INVENTARIO'!G145)</f>
        <v>228</v>
      </c>
      <c r="H144" s="72">
        <f>IF('📇 INVENTARIO'!H145="","",'📇 INVENTARIO'!H145)</f>
        <v>48</v>
      </c>
      <c r="I144" s="72">
        <f>IF('📇 INVENTARIO'!I145="","",'📇 INVENTARIO'!I145)</f>
        <v>109.1</v>
      </c>
      <c r="J144" s="72">
        <f>IF('📇 INVENTARIO'!J145="","",'📇 INVENTARIO'!J145)</f>
        <v>1969</v>
      </c>
      <c r="K144" s="73">
        <f>IF($C144="","",(G144-'⚙️ SUPUESTOS'!$C$20)/('⚙️ SUPUESTOS'!$C$25-'⚙️ SUPUESTOS'!$C$20))</f>
        <v>0.14629948364888123</v>
      </c>
      <c r="L144" s="73">
        <f>IF($C144="","",VLOOKUP($E144,'📊 SECCIONES'!$B$4:$S$9,16,FALSE()))</f>
        <v>0.19481959841367916</v>
      </c>
      <c r="M144" s="73">
        <f>IF($C144="","",VLOOKUP($E144,'📊 SECCIONES'!$B$4:$S$9,17,FALSE()))</f>
        <v>0.2663212435233161</v>
      </c>
      <c r="N144" s="73">
        <f>IF($C144="","",VLOOKUP($E144,'📊 SECCIONES'!$B$4:$S$9,18,FALSE()))</f>
        <v>1</v>
      </c>
      <c r="O144" s="74">
        <f>IF($C144="","",ROUND('⚙️ SUPUESTOS'!$C$21*K144+'⚙️ SUPUESTOS'!$C$22*L144+'⚙️ SUPUESTOS'!$C$23*M144+'⚙️ SUPUESTOS'!$C$24*N144,4))</f>
        <v>0.25059999999999999</v>
      </c>
      <c r="P144" s="75">
        <f>IF($C144="","",VLOOKUP($E144,'📊 SECCIONES'!$B$4:$S$9,7,FALSE()))</f>
        <v>24.5</v>
      </c>
      <c r="Q144" s="76">
        <f>IF($C144="","",VLOOKUP($E144,'📊 SECCIONES'!$B$4:$S$9,8,FALSE()))</f>
        <v>25206</v>
      </c>
      <c r="R144" s="75">
        <f>IF($C144="","",VLOOKUP($E144,'📊 SECCIONES'!$B$4:$S$9,10,FALSE()))</f>
        <v>32.6</v>
      </c>
      <c r="S144" s="72">
        <f>IF('📇 INVENTARIO'!K145="","",'📇 INVENTARIO'!K145)</f>
        <v>6</v>
      </c>
      <c r="T144" s="77" t="str">
        <f t="shared" si="8"/>
        <v>Objetivo: alcanzar calificación C. Actual: Cal.E. SATE fachada + carpinterías doble + instalación fotovoltaica</v>
      </c>
      <c r="U144" s="70" t="str">
        <f t="shared" si="9"/>
        <v>Valorar ascensor (verificar)</v>
      </c>
      <c r="V144" s="78">
        <f>IF('📇 INVENTARIO'!L145="","",'📇 INVENTARIO'!L145)</f>
        <v>312.8</v>
      </c>
      <c r="W144" s="75">
        <f>IF($C144="","",V144*'⚙️ SUPUESTOS'!$C$8*'⚙️ SUPUESTOS'!$C$9)</f>
        <v>65.688000000000002</v>
      </c>
      <c r="X144" s="78">
        <f>IF('📇 INVENTARIO'!N145="","",'📇 INVENTARIO'!N145)</f>
        <v>1458</v>
      </c>
      <c r="Y144" s="78">
        <f>IF($C144="","",W144*X144*'⚙️ SUPUESTOS'!$C$7)</f>
        <v>86195.793600000005</v>
      </c>
      <c r="Z144" s="76">
        <f>IF($C144="","",W144*'⚙️ SUPUESTOS'!$C$10)</f>
        <v>87693.48</v>
      </c>
      <c r="AA144" s="76">
        <f>IF($C144="","",Y144*('⚙️ SUPUESTOS'!$C$12*'⚙️ SUPUESTOS'!$C$11+(1-'⚙️ SUPUESTOS'!$C$12)*'⚙️ SUPUESTOS'!$C$13))</f>
        <v>5878.5531235200015</v>
      </c>
      <c r="AB144" s="76">
        <f>IF($C144="","",IF(Y144&gt;0,ROUND(Y144*'⚙️ SUPUESTOS'!$C$12*'⚙️ SUPUESTOS'!$C$11,0),""))</f>
        <v>2155</v>
      </c>
      <c r="AC144" s="76">
        <f>IF($C144="","",IF(Y144&gt;0,ROUND(Y144*(1-'⚙️ SUPUESTOS'!$C$12)*'⚙️ SUPUESTOS'!$C$13,0),""))</f>
        <v>3724</v>
      </c>
      <c r="AD144" s="76">
        <f t="shared" si="10"/>
        <v>59270</v>
      </c>
      <c r="AE144" s="75">
        <f t="shared" si="11"/>
        <v>14.917527860578433</v>
      </c>
      <c r="AF144" s="70" t="str">
        <f>IF($C144="","",IF(AE144="","—",IF(AE144&lt;='⚙️ SUPUESTOS'!$C$32,"✔ Muy recomendable",IF(AE144&lt;='⚙️ SUPUESTOS'!$C$33,"✔ Recomendable","Valorar"))))</f>
        <v>✔ Muy recomendable</v>
      </c>
      <c r="AG144" s="79">
        <f>IF('📇 INVENTARIO'!O145="","",'📇 INVENTARIO'!O145)</f>
        <v>41.648249999999997</v>
      </c>
      <c r="AH144" s="79">
        <f>IF('📇 INVENTARIO'!P145="","",'📇 INVENTARIO'!P145)</f>
        <v>-4.7114500000000001</v>
      </c>
    </row>
    <row r="145" spans="1:34" ht="45" customHeight="1">
      <c r="A145" s="58">
        <f>IF($C145="","",RANK(O145,$O$3:$O$265,0)+COUNTIF($O$3:O145,O145)-1)</f>
        <v>143</v>
      </c>
      <c r="B145" s="59" t="str">
        <f>IF($C145="","",IF(A145&lt;='⚙️ SUPUESTOS'!$C$29,"Fase 1",IF(A145&lt;='⚙️ SUPUESTOS'!$C$30,"Fase 2","Fase 3")))</f>
        <v>Fase 3</v>
      </c>
      <c r="C145" s="60" t="str">
        <f>IF('📇 INVENTARIO'!B146="","",'📇 INVENTARIO'!B146)</f>
        <v>C/ Perdiz, 1</v>
      </c>
      <c r="D145" s="59" t="str">
        <f>IF('📇 INVENTARIO'!C146="","",'📇 INVENTARIO'!C146)</f>
        <v>7723701UM5172D</v>
      </c>
      <c r="E145" s="59" t="str">
        <f>IF('📇 INVENTARIO'!D146="","",'📇 INVENTARIO'!D146)</f>
        <v>4718606027</v>
      </c>
      <c r="F145" s="59" t="str">
        <f>IF('📇 INVENTARIO'!F146="","",'📇 INVENTARIO'!F146)</f>
        <v>E</v>
      </c>
      <c r="G145" s="61">
        <f>IF('📇 INVENTARIO'!G146="","",'📇 INVENTARIO'!G146)</f>
        <v>226</v>
      </c>
      <c r="H145" s="61">
        <f>IF('📇 INVENTARIO'!H146="","",'📇 INVENTARIO'!H146)</f>
        <v>46</v>
      </c>
      <c r="I145" s="61">
        <f>IF('📇 INVENTARIO'!I146="","",'📇 INVENTARIO'!I146)</f>
        <v>125.2</v>
      </c>
      <c r="J145" s="61">
        <f>IF('📇 INVENTARIO'!J146="","",'📇 INVENTARIO'!J146)</f>
        <v>1963</v>
      </c>
      <c r="K145" s="62">
        <f>IF($C145="","",(G145-'⚙️ SUPUESTOS'!$C$20)/('⚙️ SUPUESTOS'!$C$25-'⚙️ SUPUESTOS'!$C$20))</f>
        <v>0.14285714285714285</v>
      </c>
      <c r="L145" s="62">
        <f>IF($C145="","",VLOOKUP($E145,'📊 SECCIONES'!$B$4:$S$9,16,FALSE()))</f>
        <v>0.19481959841367916</v>
      </c>
      <c r="M145" s="62">
        <f>IF($C145="","",VLOOKUP($E145,'📊 SECCIONES'!$B$4:$S$9,17,FALSE()))</f>
        <v>0.2663212435233161</v>
      </c>
      <c r="N145" s="62">
        <f>IF($C145="","",VLOOKUP($E145,'📊 SECCIONES'!$B$4:$S$9,18,FALSE()))</f>
        <v>1</v>
      </c>
      <c r="O145" s="63">
        <f>IF($C145="","",ROUND('⚙️ SUPUESTOS'!$C$21*K145+'⚙️ SUPUESTOS'!$C$22*L145+'⚙️ SUPUESTOS'!$C$23*M145+'⚙️ SUPUESTOS'!$C$24*N145,4))</f>
        <v>0.2487</v>
      </c>
      <c r="P145" s="64">
        <f>IF($C145="","",VLOOKUP($E145,'📊 SECCIONES'!$B$4:$S$9,7,FALSE()))</f>
        <v>24.5</v>
      </c>
      <c r="Q145" s="65">
        <f>IF($C145="","",VLOOKUP($E145,'📊 SECCIONES'!$B$4:$S$9,8,FALSE()))</f>
        <v>25206</v>
      </c>
      <c r="R145" s="64">
        <f>IF($C145="","",VLOOKUP($E145,'📊 SECCIONES'!$B$4:$S$9,10,FALSE()))</f>
        <v>32.6</v>
      </c>
      <c r="S145" s="61">
        <f>IF('📇 INVENTARIO'!K146="","",'📇 INVENTARIO'!K146)</f>
        <v>5</v>
      </c>
      <c r="T145" s="66" t="str">
        <f t="shared" si="8"/>
        <v>Objetivo: alcanzar calificación C. Actual: Cal.E. SATE fachada + carpinterías doble + instalación fotovoltaica</v>
      </c>
      <c r="U145" s="59" t="str">
        <f t="shared" si="9"/>
        <v>Valorar ascensor (verificar)</v>
      </c>
      <c r="V145" s="67">
        <f>IF('📇 INVENTARIO'!L146="","",'📇 INVENTARIO'!L146)</f>
        <v>157</v>
      </c>
      <c r="W145" s="64">
        <f>IF($C145="","",V145*'⚙️ SUPUESTOS'!$C$8*'⚙️ SUPUESTOS'!$C$9)</f>
        <v>32.97</v>
      </c>
      <c r="X145" s="67">
        <f>IF('📇 INVENTARIO'!N146="","",'📇 INVENTARIO'!N146)</f>
        <v>1464</v>
      </c>
      <c r="Y145" s="67">
        <f>IF($C145="","",W145*X145*'⚙️ SUPUESTOS'!$C$7)</f>
        <v>43441.272000000004</v>
      </c>
      <c r="Z145" s="65">
        <f>IF($C145="","",W145*'⚙️ SUPUESTOS'!$C$10)</f>
        <v>44014.95</v>
      </c>
      <c r="AA145" s="65">
        <f>IF($C145="","",Y145*('⚙️ SUPUESTOS'!$C$12*'⚙️ SUPUESTOS'!$C$11+(1-'⚙️ SUPUESTOS'!$C$12)*'⚙️ SUPUESTOS'!$C$13))</f>
        <v>2962.6947504000009</v>
      </c>
      <c r="AB145" s="65">
        <f>IF($C145="","",IF(Y145&gt;0,ROUND(Y145*'⚙️ SUPUESTOS'!$C$12*'⚙️ SUPUESTOS'!$C$11,0),""))</f>
        <v>1086</v>
      </c>
      <c r="AC145" s="65">
        <f>IF($C145="","",IF(Y145&gt;0,ROUND(Y145*(1-'⚙️ SUPUESTOS'!$C$12)*'⚙️ SUPUESTOS'!$C$13,0),""))</f>
        <v>1877</v>
      </c>
      <c r="AD145" s="65">
        <f t="shared" si="10"/>
        <v>30052</v>
      </c>
      <c r="AE145" s="64">
        <f t="shared" si="11"/>
        <v>14.856390451313766</v>
      </c>
      <c r="AF145" s="59" t="str">
        <f>IF($C145="","",IF(AE145="","—",IF(AE145&lt;='⚙️ SUPUESTOS'!$C$32,"✔ Muy recomendable",IF(AE145&lt;='⚙️ SUPUESTOS'!$C$33,"✔ Recomendable","Valorar"))))</f>
        <v>✔ Muy recomendable</v>
      </c>
      <c r="AG145" s="68">
        <f>IF('📇 INVENTARIO'!O146="","",'📇 INVENTARIO'!O146)</f>
        <v>41.648099000000002</v>
      </c>
      <c r="AH145" s="68">
        <f>IF('📇 INVENTARIO'!P146="","",'📇 INVENTARIO'!P146)</f>
        <v>-4.7100929999999996</v>
      </c>
    </row>
    <row r="146" spans="1:34" ht="45" customHeight="1">
      <c r="A146" s="58">
        <f>IF($C146="","",RANK(O146,$O$3:$O$265,0)+COUNTIF($O$3:O146,O146)-1)</f>
        <v>144</v>
      </c>
      <c r="B146" s="59" t="str">
        <f>IF($C146="","",IF(A146&lt;='⚙️ SUPUESTOS'!$C$29,"Fase 1",IF(A146&lt;='⚙️ SUPUESTOS'!$C$30,"Fase 2","Fase 3")))</f>
        <v>Fase 3</v>
      </c>
      <c r="C146" s="60" t="str">
        <f>IF('📇 INVENTARIO'!B148="","",'📇 INVENTARIO'!B148)</f>
        <v>C/ Tordo, 8</v>
      </c>
      <c r="D146" s="59" t="str">
        <f>IF('📇 INVENTARIO'!C148="","",'📇 INVENTARIO'!C148)</f>
        <v>8025204UM5182E</v>
      </c>
      <c r="E146" s="59" t="str">
        <f>IF('📇 INVENTARIO'!D148="","",'📇 INVENTARIO'!D148)</f>
        <v>4718606024</v>
      </c>
      <c r="F146" s="59" t="str">
        <f>IF('📇 INVENTARIO'!F148="","",'📇 INVENTARIO'!F148)</f>
        <v>E</v>
      </c>
      <c r="G146" s="61">
        <f>IF('📇 INVENTARIO'!G148="","",'📇 INVENTARIO'!G148)</f>
        <v>271</v>
      </c>
      <c r="H146" s="61">
        <f>IF('📇 INVENTARIO'!H148="","",'📇 INVENTARIO'!H148)</f>
        <v>57</v>
      </c>
      <c r="I146" s="61">
        <f>IF('📇 INVENTARIO'!I148="","",'📇 INVENTARIO'!I148)</f>
        <v>139.6</v>
      </c>
      <c r="J146" s="61">
        <f>IF('📇 INVENTARIO'!J148="","",'📇 INVENTARIO'!J148)</f>
        <v>1970</v>
      </c>
      <c r="K146" s="62">
        <f>IF($C146="","",(G146-'⚙️ SUPUESTOS'!$C$20)/('⚙️ SUPUESTOS'!$C$25-'⚙️ SUPUESTOS'!$C$20))</f>
        <v>0.22030981067125646</v>
      </c>
      <c r="L146" s="62">
        <f>IF($C146="","",VLOOKUP($E146,'📊 SECCIONES'!$B$4:$S$9,16,FALSE()))</f>
        <v>0.13391192517993736</v>
      </c>
      <c r="M146" s="62">
        <f>IF($C146="","",VLOOKUP($E146,'📊 SECCIONES'!$B$4:$S$9,17,FALSE()))</f>
        <v>0.16476683937823833</v>
      </c>
      <c r="N146" s="62">
        <f>IF($C146="","",VLOOKUP($E146,'📊 SECCIONES'!$B$4:$S$9,18,FALSE()))</f>
        <v>0.79545454545454541</v>
      </c>
      <c r="O146" s="63">
        <f>IF($C146="","",ROUND('⚙️ SUPUESTOS'!$C$21*K146+'⚙️ SUPUESTOS'!$C$22*L146+'⚙️ SUPUESTOS'!$C$23*M146+'⚙️ SUPUESTOS'!$C$24*N146,4))</f>
        <v>0.24529999999999999</v>
      </c>
      <c r="P146" s="64">
        <f>IF($C146="","",VLOOKUP($E146,'📊 SECCIONES'!$B$4:$S$9,7,FALSE()))</f>
        <v>30.06</v>
      </c>
      <c r="Q146" s="65">
        <f>IF($C146="","",VLOOKUP($E146,'📊 SECCIONES'!$B$4:$S$9,8,FALSE()))</f>
        <v>25132</v>
      </c>
      <c r="R146" s="64">
        <f>IF($C146="","",VLOOKUP($E146,'📊 SECCIONES'!$B$4:$S$9,10,FALSE()))</f>
        <v>28.1</v>
      </c>
      <c r="S146" s="61">
        <f>IF('📇 INVENTARIO'!K148="","",'📇 INVENTARIO'!K148)</f>
        <v>6</v>
      </c>
      <c r="T146" s="66" t="str">
        <f t="shared" si="8"/>
        <v>Objetivo: alcanzar calificación C. Actual: Cal.E. SATE fachada + carpinterías doble + instalación fotovoltaica</v>
      </c>
      <c r="U146" s="59" t="str">
        <f t="shared" si="9"/>
        <v>Valorar ascensor (verificar)</v>
      </c>
      <c r="V146" s="67">
        <f>IF('📇 INVENTARIO'!L148="","",'📇 INVENTARIO'!L148)</f>
        <v>436.4</v>
      </c>
      <c r="W146" s="64">
        <f>IF($C146="","",V146*'⚙️ SUPUESTOS'!$C$8*'⚙️ SUPUESTOS'!$C$9)</f>
        <v>91.643999999999991</v>
      </c>
      <c r="X146" s="67">
        <f>IF('📇 INVENTARIO'!N148="","",'📇 INVENTARIO'!N148)</f>
        <v>1375</v>
      </c>
      <c r="Y146" s="67">
        <f>IF($C146="","",W146*X146*'⚙️ SUPUESTOS'!$C$7)</f>
        <v>113409.44999999998</v>
      </c>
      <c r="Z146" s="65">
        <f>IF($C146="","",W146*'⚙️ SUPUESTOS'!$C$10)</f>
        <v>122344.73999999999</v>
      </c>
      <c r="AA146" s="65">
        <f>IF($C146="","",Y146*('⚙️ SUPUESTOS'!$C$12*'⚙️ SUPUESTOS'!$C$11+(1-'⚙️ SUPUESTOS'!$C$12)*'⚙️ SUPUESTOS'!$C$13))</f>
        <v>7734.5244899999998</v>
      </c>
      <c r="AB146" s="65">
        <f>IF($C146="","",IF(Y146&gt;0,ROUND(Y146*'⚙️ SUPUESTOS'!$C$12*'⚙️ SUPUESTOS'!$C$11,0),""))</f>
        <v>2835</v>
      </c>
      <c r="AC146" s="65">
        <f>IF($C146="","",IF(Y146&gt;0,ROUND(Y146*(1-'⚙️ SUPUESTOS'!$C$12)*'⚙️ SUPUESTOS'!$C$13,0),""))</f>
        <v>4899</v>
      </c>
      <c r="AD146" s="76">
        <f t="shared" si="10"/>
        <v>71018</v>
      </c>
      <c r="AE146" s="75">
        <f t="shared" si="11"/>
        <v>15.818004087798808</v>
      </c>
      <c r="AF146" s="70" t="str">
        <f>IF($C146="","",IF(AE146="","—",IF(AE146&lt;='⚙️ SUPUESTOS'!$C$32,"✔ Muy recomendable",IF(AE146&lt;='⚙️ SUPUESTOS'!$C$33,"✔ Recomendable","Valorar"))))</f>
        <v>✔ Recomendable</v>
      </c>
      <c r="AG146" s="79">
        <f>IF('📇 INVENTARIO'!O147="","",'📇 INVENTARIO'!O147)</f>
        <v>41.647069999999999</v>
      </c>
      <c r="AH146" s="79">
        <f>IF('📇 INVENTARIO'!P147="","",'📇 INVENTARIO'!P147)</f>
        <v>-4.7082499999999996</v>
      </c>
    </row>
    <row r="147" spans="1:34" ht="45" customHeight="1">
      <c r="A147" s="69">
        <f>IF($C147="","",RANK(O147,$O$3:$O$265,0)+COUNTIF($O$3:O147,O147)-1)</f>
        <v>145</v>
      </c>
      <c r="B147" s="70" t="str">
        <f>IF($C147="","",IF(A147&lt;='⚙️ SUPUESTOS'!$C$29,"Fase 1",IF(A147&lt;='⚙️ SUPUESTOS'!$C$30,"Fase 2","Fase 3")))</f>
        <v>Fase 3</v>
      </c>
      <c r="C147" s="71" t="str">
        <f>IF('📇 INVENTARIO'!B149="","",'📇 INVENTARIO'!B149)</f>
        <v>C/ Villabáñez, 31</v>
      </c>
      <c r="D147" s="70" t="str">
        <f>IF('📇 INVENTARIO'!C149="","",'📇 INVENTARIO'!C149)</f>
        <v>8024006UM5182C</v>
      </c>
      <c r="E147" s="70" t="str">
        <f>IF('📇 INVENTARIO'!D149="","",'📇 INVENTARIO'!D149)</f>
        <v>4718606024</v>
      </c>
      <c r="F147" s="70" t="str">
        <f>IF('📇 INVENTARIO'!F149="","",'📇 INVENTARIO'!F149)</f>
        <v>E</v>
      </c>
      <c r="G147" s="72">
        <f>IF('📇 INVENTARIO'!G149="","",'📇 INVENTARIO'!G149)</f>
        <v>271</v>
      </c>
      <c r="H147" s="72">
        <f>IF('📇 INVENTARIO'!H149="","",'📇 INVENTARIO'!H149)</f>
        <v>56</v>
      </c>
      <c r="I147" s="72">
        <f>IF('📇 INVENTARIO'!I149="","",'📇 INVENTARIO'!I149)</f>
        <v>169.3</v>
      </c>
      <c r="J147" s="72">
        <f>IF('📇 INVENTARIO'!J149="","",'📇 INVENTARIO'!J149)</f>
        <v>1967</v>
      </c>
      <c r="K147" s="73">
        <f>IF($C147="","",(G147-'⚙️ SUPUESTOS'!$C$20)/('⚙️ SUPUESTOS'!$C$25-'⚙️ SUPUESTOS'!$C$20))</f>
        <v>0.22030981067125646</v>
      </c>
      <c r="L147" s="73">
        <f>IF($C147="","",VLOOKUP($E147,'📊 SECCIONES'!$B$4:$S$9,16,FALSE()))</f>
        <v>0.13391192517993736</v>
      </c>
      <c r="M147" s="73">
        <f>IF($C147="","",VLOOKUP($E147,'📊 SECCIONES'!$B$4:$S$9,17,FALSE()))</f>
        <v>0.16476683937823833</v>
      </c>
      <c r="N147" s="73">
        <f>IF($C147="","",VLOOKUP($E147,'📊 SECCIONES'!$B$4:$S$9,18,FALSE()))</f>
        <v>0.79545454545454541</v>
      </c>
      <c r="O147" s="74">
        <f>IF($C147="","",ROUND('⚙️ SUPUESTOS'!$C$21*K147+'⚙️ SUPUESTOS'!$C$22*L147+'⚙️ SUPUESTOS'!$C$23*M147+'⚙️ SUPUESTOS'!$C$24*N147,4))</f>
        <v>0.24529999999999999</v>
      </c>
      <c r="P147" s="75">
        <f>IF($C147="","",VLOOKUP($E147,'📊 SECCIONES'!$B$4:$S$9,7,FALSE()))</f>
        <v>30.06</v>
      </c>
      <c r="Q147" s="76">
        <f>IF($C147="","",VLOOKUP($E147,'📊 SECCIONES'!$B$4:$S$9,8,FALSE()))</f>
        <v>25132</v>
      </c>
      <c r="R147" s="75">
        <f>IF($C147="","",VLOOKUP($E147,'📊 SECCIONES'!$B$4:$S$9,10,FALSE()))</f>
        <v>28.1</v>
      </c>
      <c r="S147" s="72">
        <f>IF('📇 INVENTARIO'!K149="","",'📇 INVENTARIO'!K149)</f>
        <v>5</v>
      </c>
      <c r="T147" s="77" t="str">
        <f t="shared" si="8"/>
        <v>Objetivo: alcanzar calificación C. Actual: Cal.E. SATE fachada + carpinterías doble + instalación fotovoltaica</v>
      </c>
      <c r="U147" s="70" t="str">
        <f t="shared" si="9"/>
        <v>Valorar ascensor (verificar)</v>
      </c>
      <c r="V147" s="78">
        <f>IF('📇 INVENTARIO'!L149="","",'📇 INVENTARIO'!L149)</f>
        <v>176.3</v>
      </c>
      <c r="W147" s="75">
        <f>IF($C147="","",V147*'⚙️ SUPUESTOS'!$C$8*'⚙️ SUPUESTOS'!$C$9)</f>
        <v>37.023000000000003</v>
      </c>
      <c r="X147" s="78">
        <f>IF('📇 INVENTARIO'!N149="","",'📇 INVENTARIO'!N149)</f>
        <v>1241</v>
      </c>
      <c r="Y147" s="78">
        <f>IF($C147="","",W147*X147*'⚙️ SUPUESTOS'!$C$7)</f>
        <v>41350.988700000009</v>
      </c>
      <c r="Z147" s="76">
        <f>IF($C147="","",W147*'⚙️ SUPUESTOS'!$C$10)</f>
        <v>49425.705000000002</v>
      </c>
      <c r="AA147" s="76">
        <f>IF($C147="","",Y147*('⚙️ SUPUESTOS'!$C$12*'⚙️ SUPUESTOS'!$C$11+(1-'⚙️ SUPUESTOS'!$C$12)*'⚙️ SUPUESTOS'!$C$13))</f>
        <v>2820.1374293400008</v>
      </c>
      <c r="AB147" s="76">
        <f>IF($C147="","",IF(Y147&gt;0,ROUND(Y147*'⚙️ SUPUESTOS'!$C$12*'⚙️ SUPUESTOS'!$C$11,0),""))</f>
        <v>1034</v>
      </c>
      <c r="AC147" s="76">
        <f>IF($C147="","",IF(Y147&gt;0,ROUND(Y147*(1-'⚙️ SUPUESTOS'!$C$12)*'⚙️ SUPUESTOS'!$C$13,0),""))</f>
        <v>1786</v>
      </c>
      <c r="AD147" s="65">
        <f t="shared" si="10"/>
        <v>21078</v>
      </c>
      <c r="AE147" s="64">
        <f t="shared" si="11"/>
        <v>17.52599163636048</v>
      </c>
      <c r="AF147" s="59" t="str">
        <f>IF($C147="","",IF(AE147="","—",IF(AE147&lt;='⚙️ SUPUESTOS'!$C$32,"✔ Muy recomendable",IF(AE147&lt;='⚙️ SUPUESTOS'!$C$33,"✔ Recomendable","Valorar"))))</f>
        <v>Valorar</v>
      </c>
      <c r="AG147" s="68">
        <f>IF('📇 INVENTARIO'!O148="","",'📇 INVENTARIO'!O148)</f>
        <v>41.649549999999998</v>
      </c>
      <c r="AH147" s="68">
        <f>IF('📇 INVENTARIO'!P148="","",'📇 INVENTARIO'!P148)</f>
        <v>-4.7065599999999996</v>
      </c>
    </row>
    <row r="148" spans="1:34" ht="45" customHeight="1">
      <c r="A148" s="69">
        <f>IF($C148="","",RANK(O148,$O$3:$O$265,0)+COUNTIF($O$3:O148,O148)-1)</f>
        <v>146</v>
      </c>
      <c r="B148" s="70" t="str">
        <f>IF($C148="","",IF(A148&lt;='⚙️ SUPUESTOS'!$C$29,"Fase 1",IF(A148&lt;='⚙️ SUPUESTOS'!$C$30,"Fase 2","Fase 3")))</f>
        <v>Fase 3</v>
      </c>
      <c r="C148" s="71" t="str">
        <f>IF('📇 INVENTARIO'!B147="","",'📇 INVENTARIO'!B147)</f>
        <v>C/ Gallo, 19</v>
      </c>
      <c r="D148" s="70" t="str">
        <f>IF('📇 INVENTARIO'!C147="","",'📇 INVENTARIO'!C147)</f>
        <v>7822103UM5172B</v>
      </c>
      <c r="E148" s="70" t="str">
        <f>IF('📇 INVENTARIO'!D147="","",'📇 INVENTARIO'!D147)</f>
        <v>4718606028</v>
      </c>
      <c r="F148" s="70" t="str">
        <f>IF('📇 INVENTARIO'!F147="","",'📇 INVENTARIO'!F147)</f>
        <v>E</v>
      </c>
      <c r="G148" s="72">
        <f>IF('📇 INVENTARIO'!G147="","",'📇 INVENTARIO'!G147)</f>
        <v>226</v>
      </c>
      <c r="H148" s="72">
        <f>IF('📇 INVENTARIO'!H147="","",'📇 INVENTARIO'!H147)</f>
        <v>48</v>
      </c>
      <c r="I148" s="72">
        <f>IF('📇 INVENTARIO'!I147="","",'📇 INVENTARIO'!I147)</f>
        <v>112.8</v>
      </c>
      <c r="J148" s="72">
        <f>IF('📇 INVENTARIO'!J147="","",'📇 INVENTARIO'!J147)</f>
        <v>1969</v>
      </c>
      <c r="K148" s="73">
        <f>IF($C148="","",(G148-'⚙️ SUPUESTOS'!$C$20)/('⚙️ SUPUESTOS'!$C$25-'⚙️ SUPUESTOS'!$C$20))</f>
        <v>0.14285714285714285</v>
      </c>
      <c r="L148" s="73">
        <f>IF($C148="","",VLOOKUP($E148,'📊 SECCIONES'!$B$4:$S$9,16,FALSE()))</f>
        <v>0.24395028956990591</v>
      </c>
      <c r="M148" s="73">
        <f>IF($C148="","",VLOOKUP($E148,'📊 SECCIONES'!$B$4:$S$9,17,FALSE()))</f>
        <v>0.34507772020725386</v>
      </c>
      <c r="N148" s="73">
        <f>IF($C148="","",VLOOKUP($E148,'📊 SECCIONES'!$B$4:$S$9,18,FALSE()))</f>
        <v>0.70909090909090911</v>
      </c>
      <c r="O148" s="74">
        <f>IF($C148="","",ROUND('⚙️ SUPUESTOS'!$C$21*K148+'⚙️ SUPUESTOS'!$C$22*L148+'⚙️ SUPUESTOS'!$C$23*M148+'⚙️ SUPUESTOS'!$C$24*N148,4))</f>
        <v>0.24440000000000001</v>
      </c>
      <c r="P148" s="75">
        <f>IF($C148="","",VLOOKUP($E148,'📊 SECCIONES'!$B$4:$S$9,7,FALSE()))</f>
        <v>29.81</v>
      </c>
      <c r="Q148" s="76">
        <f>IF($C148="","",VLOOKUP($E148,'📊 SECCIONES'!$B$4:$S$9,8,FALSE()))</f>
        <v>23665</v>
      </c>
      <c r="R148" s="75">
        <f>IF($C148="","",VLOOKUP($E148,'📊 SECCIONES'!$B$4:$S$9,10,FALSE()))</f>
        <v>26.2</v>
      </c>
      <c r="S148" s="72">
        <f>IF('📇 INVENTARIO'!K147="","",'📇 INVENTARIO'!K147)</f>
        <v>6</v>
      </c>
      <c r="T148" s="77" t="str">
        <f t="shared" si="8"/>
        <v>Objetivo: alcanzar calificación C. Actual: Cal.E. SATE fachada + carpinterías doble + instalación fotovoltaica</v>
      </c>
      <c r="U148" s="70" t="str">
        <f t="shared" si="9"/>
        <v>Valorar ascensor (verificar)</v>
      </c>
      <c r="V148" s="78">
        <f>IF('📇 INVENTARIO'!L147="","",'📇 INVENTARIO'!L147)</f>
        <v>309.3</v>
      </c>
      <c r="W148" s="75">
        <f>IF($C148="","",V148*'⚙️ SUPUESTOS'!$C$8*'⚙️ SUPUESTOS'!$C$9)</f>
        <v>64.953000000000003</v>
      </c>
      <c r="X148" s="78">
        <f>IF('📇 INVENTARIO'!N147="","",'📇 INVENTARIO'!N147)</f>
        <v>1459</v>
      </c>
      <c r="Y148" s="78">
        <f>IF($C148="","",W148*X148*'⚙️ SUPUESTOS'!$C$7)</f>
        <v>85289.784300000014</v>
      </c>
      <c r="Z148" s="76">
        <f>IF($C148="","",W148*'⚙️ SUPUESTOS'!$C$10)</f>
        <v>86712.255000000005</v>
      </c>
      <c r="AA148" s="76">
        <f>IF($C148="","",Y148*('⚙️ SUPUESTOS'!$C$12*'⚙️ SUPUESTOS'!$C$11+(1-'⚙️ SUPUESTOS'!$C$12)*'⚙️ SUPUESTOS'!$C$13))</f>
        <v>5816.7632892600022</v>
      </c>
      <c r="AB148" s="76">
        <f>IF($C148="","",IF(Y148&gt;0,ROUND(Y148*'⚙️ SUPUESTOS'!$C$12*'⚙️ SUPUESTOS'!$C$11,0),""))</f>
        <v>2132</v>
      </c>
      <c r="AC148" s="76">
        <f>IF($C148="","",IF(Y148&gt;0,ROUND(Y148*(1-'⚙️ SUPUESTOS'!$C$12)*'⚙️ SUPUESTOS'!$C$13,0),""))</f>
        <v>3685</v>
      </c>
      <c r="AD148" s="76">
        <f t="shared" si="10"/>
        <v>58707</v>
      </c>
      <c r="AE148" s="75">
        <f t="shared" si="11"/>
        <v>14.90730337266851</v>
      </c>
      <c r="AF148" s="70" t="str">
        <f>IF($C148="","",IF(AE148="","—",IF(AE148&lt;='⚙️ SUPUESTOS'!$C$32,"✔ Muy recomendable",IF(AE148&lt;='⚙️ SUPUESTOS'!$C$33,"✔ Recomendable","Valorar"))))</f>
        <v>✔ Muy recomendable</v>
      </c>
      <c r="AG148" s="79">
        <f>IF('📇 INVENTARIO'!O149="","",'📇 INVENTARIO'!O149)</f>
        <v>41.64855</v>
      </c>
      <c r="AH148" s="79">
        <f>IF('📇 INVENTARIO'!P149="","",'📇 INVENTARIO'!P149)</f>
        <v>-4.7068500000000002</v>
      </c>
    </row>
    <row r="149" spans="1:34" ht="45" customHeight="1">
      <c r="A149" s="69">
        <f>IF($C149="","",RANK(O149,$O$3:$O$265,0)+COUNTIF($O$3:O149,O149)-1)</f>
        <v>147</v>
      </c>
      <c r="B149" s="70" t="str">
        <f>IF($C149="","",IF(A149&lt;='⚙️ SUPUESTOS'!$C$29,"Fase 1",IF(A149&lt;='⚙️ SUPUESTOS'!$C$30,"Fase 2","Fase 3")))</f>
        <v>Fase 3</v>
      </c>
      <c r="C149" s="71" t="str">
        <f>IF('📇 INVENTARIO'!B151="","",'📇 INVENTARIO'!B151)</f>
        <v>C/ Codorniz, 3</v>
      </c>
      <c r="D149" s="70" t="str">
        <f>IF('📇 INVENTARIO'!C151="","",'📇 INVENTARIO'!C151)</f>
        <v>7924210UM5172D</v>
      </c>
      <c r="E149" s="70" t="str">
        <f>IF('📇 INVENTARIO'!D151="","",'📇 INVENTARIO'!D151)</f>
        <v>4718606024</v>
      </c>
      <c r="F149" s="70" t="str">
        <f>IF('📇 INVENTARIO'!F151="","",'📇 INVENTARIO'!F151)</f>
        <v>E</v>
      </c>
      <c r="G149" s="72">
        <f>IF('📇 INVENTARIO'!G151="","",'📇 INVENTARIO'!G151)</f>
        <v>270</v>
      </c>
      <c r="H149" s="72">
        <f>IF('📇 INVENTARIO'!H151="","",'📇 INVENTARIO'!H151)</f>
        <v>57</v>
      </c>
      <c r="I149" s="72">
        <f>IF('📇 INVENTARIO'!I151="","",'📇 INVENTARIO'!I151)</f>
        <v>121.3</v>
      </c>
      <c r="J149" s="72">
        <f>IF('📇 INVENTARIO'!J151="","",'📇 INVENTARIO'!J151)</f>
        <v>1965</v>
      </c>
      <c r="K149" s="73">
        <f>IF($C149="","",(G149-'⚙️ SUPUESTOS'!$C$20)/('⚙️ SUPUESTOS'!$C$25-'⚙️ SUPUESTOS'!$C$20))</f>
        <v>0.21858864027538727</v>
      </c>
      <c r="L149" s="73">
        <f>IF($C149="","",VLOOKUP($E149,'📊 SECCIONES'!$B$4:$S$9,16,FALSE()))</f>
        <v>0.13391192517993736</v>
      </c>
      <c r="M149" s="73">
        <f>IF($C149="","",VLOOKUP($E149,'📊 SECCIONES'!$B$4:$S$9,17,FALSE()))</f>
        <v>0.16476683937823833</v>
      </c>
      <c r="N149" s="73">
        <f>IF($C149="","",VLOOKUP($E149,'📊 SECCIONES'!$B$4:$S$9,18,FALSE()))</f>
        <v>0.79545454545454541</v>
      </c>
      <c r="O149" s="74">
        <f>IF($C149="","",ROUND('⚙️ SUPUESTOS'!$C$21*K149+'⚙️ SUPUESTOS'!$C$22*L149+'⚙️ SUPUESTOS'!$C$23*M149+'⚙️ SUPUESTOS'!$C$24*N149,4))</f>
        <v>0.24429999999999999</v>
      </c>
      <c r="P149" s="75">
        <f>IF($C149="","",VLOOKUP($E149,'📊 SECCIONES'!$B$4:$S$9,7,FALSE()))</f>
        <v>30.06</v>
      </c>
      <c r="Q149" s="76">
        <f>IF($C149="","",VLOOKUP($E149,'📊 SECCIONES'!$B$4:$S$9,8,FALSE()))</f>
        <v>25132</v>
      </c>
      <c r="R149" s="75">
        <f>IF($C149="","",VLOOKUP($E149,'📊 SECCIONES'!$B$4:$S$9,10,FALSE()))</f>
        <v>28.1</v>
      </c>
      <c r="S149" s="72">
        <f>IF('📇 INVENTARIO'!K151="","",'📇 INVENTARIO'!K151)</f>
        <v>3</v>
      </c>
      <c r="T149" s="77" t="str">
        <f t="shared" si="8"/>
        <v>Objetivo: alcanzar calificación C. Actual: Cal.E. SATE fachada + carpinterías doble + instalación fotovoltaica</v>
      </c>
      <c r="U149" s="70" t="str">
        <f t="shared" si="9"/>
        <v>—</v>
      </c>
      <c r="V149" s="78">
        <f>IF('📇 INVENTARIO'!L151="","",'📇 INVENTARIO'!L151)</f>
        <v>96.5</v>
      </c>
      <c r="W149" s="75">
        <f>IF($C149="","",V149*'⚙️ SUPUESTOS'!$C$8*'⚙️ SUPUESTOS'!$C$9)</f>
        <v>20.265000000000001</v>
      </c>
      <c r="X149" s="78">
        <f>IF('📇 INVENTARIO'!N151="","",'📇 INVENTARIO'!N151)</f>
        <v>1380</v>
      </c>
      <c r="Y149" s="78">
        <f>IF($C149="","",W149*X149*'⚙️ SUPUESTOS'!$C$7)</f>
        <v>25169.13</v>
      </c>
      <c r="Z149" s="76">
        <f>IF($C149="","",W149*'⚙️ SUPUESTOS'!$C$10)</f>
        <v>27053.775000000001</v>
      </c>
      <c r="AA149" s="76">
        <f>IF($C149="","",Y149*('⚙️ SUPUESTOS'!$C$12*'⚙️ SUPUESTOS'!$C$11+(1-'⚙️ SUPUESTOS'!$C$12)*'⚙️ SUPUESTOS'!$C$13))</f>
        <v>1716.5346660000002</v>
      </c>
      <c r="AB149" s="76">
        <f>IF($C149="","",IF(Y149&gt;0,ROUND(Y149*'⚙️ SUPUESTOS'!$C$12*'⚙️ SUPUESTOS'!$C$11,0),""))</f>
        <v>629</v>
      </c>
      <c r="AC149" s="76">
        <f>IF($C149="","",IF(Y149&gt;0,ROUND(Y149*(1-'⚙️ SUPUESTOS'!$C$12)*'⚙️ SUPUESTOS'!$C$13,0),""))</f>
        <v>1087</v>
      </c>
      <c r="AD149" s="65">
        <f t="shared" si="10"/>
        <v>15860</v>
      </c>
      <c r="AE149" s="64">
        <f t="shared" si="11"/>
        <v>15.760692478785044</v>
      </c>
      <c r="AF149" s="59" t="str">
        <f>IF($C149="","",IF(AE149="","—",IF(AE149&lt;='⚙️ SUPUESTOS'!$C$32,"✔ Muy recomendable",IF(AE149&lt;='⚙️ SUPUESTOS'!$C$33,"✔ Recomendable","Valorar"))))</f>
        <v>✔ Recomendable</v>
      </c>
      <c r="AG149" s="68">
        <f>IF('📇 INVENTARIO'!O150="","",'📇 INVENTARIO'!O150)</f>
        <v>41.648009999999999</v>
      </c>
      <c r="AH149" s="68">
        <f>IF('📇 INVENTARIO'!P150="","",'📇 INVENTARIO'!P150)</f>
        <v>-4.7116400000000001</v>
      </c>
    </row>
    <row r="150" spans="1:34" ht="45" customHeight="1">
      <c r="A150" s="58">
        <f>IF($C150="","",RANK(O150,$O$3:$O$265,0)+COUNTIF($O$3:O150,O150)-1)</f>
        <v>148</v>
      </c>
      <c r="B150" s="59" t="str">
        <f>IF($C150="","",IF(A150&lt;='⚙️ SUPUESTOS'!$C$29,"Fase 1",IF(A150&lt;='⚙️ SUPUESTOS'!$C$30,"Fase 2","Fase 3")))</f>
        <v>Fase 3</v>
      </c>
      <c r="C150" s="60" t="str">
        <f>IF('📇 INVENTARIO'!B150="","",'📇 INVENTARIO'!B150)</f>
        <v>C/ Pavo Real, 3</v>
      </c>
      <c r="D150" s="59" t="str">
        <f>IF('📇 INVENTARIO'!C150="","",'📇 INVENTARIO'!C150)</f>
        <v>7623801UM5172D</v>
      </c>
      <c r="E150" s="59" t="str">
        <f>IF('📇 INVENTARIO'!D150="","",'📇 INVENTARIO'!D150)</f>
        <v>4718606027</v>
      </c>
      <c r="F150" s="59" t="str">
        <f>IF('📇 INVENTARIO'!F150="","",'📇 INVENTARIO'!F150)</f>
        <v>D</v>
      </c>
      <c r="G150" s="61">
        <f>IF('📇 INVENTARIO'!G150="","",'📇 INVENTARIO'!G150)</f>
        <v>219</v>
      </c>
      <c r="H150" s="61">
        <f>IF('📇 INVENTARIO'!H150="","",'📇 INVENTARIO'!H150)</f>
        <v>46</v>
      </c>
      <c r="I150" s="61">
        <f>IF('📇 INVENTARIO'!I150="","",'📇 INVENTARIO'!I150)</f>
        <v>109.2</v>
      </c>
      <c r="J150" s="61">
        <f>IF('📇 INVENTARIO'!J150="","",'📇 INVENTARIO'!J150)</f>
        <v>1969</v>
      </c>
      <c r="K150" s="62">
        <f>IF($C150="","",(G150-'⚙️ SUPUESTOS'!$C$20)/('⚙️ SUPUESTOS'!$C$25-'⚙️ SUPUESTOS'!$C$20))</f>
        <v>0.13080895008605853</v>
      </c>
      <c r="L150" s="62">
        <f>IF($C150="","",VLOOKUP($E150,'📊 SECCIONES'!$B$4:$S$9,16,FALSE()))</f>
        <v>0.19481959841367916</v>
      </c>
      <c r="M150" s="62">
        <f>IF($C150="","",VLOOKUP($E150,'📊 SECCIONES'!$B$4:$S$9,17,FALSE()))</f>
        <v>0.2663212435233161</v>
      </c>
      <c r="N150" s="62">
        <f>IF($C150="","",VLOOKUP($E150,'📊 SECCIONES'!$B$4:$S$9,18,FALSE()))</f>
        <v>1</v>
      </c>
      <c r="O150" s="63">
        <f>IF($C150="","",ROUND('⚙️ SUPUESTOS'!$C$21*K150+'⚙️ SUPUESTOS'!$C$22*L150+'⚙️ SUPUESTOS'!$C$23*M150+'⚙️ SUPUESTOS'!$C$24*N150,4))</f>
        <v>0.24210000000000001</v>
      </c>
      <c r="P150" s="64">
        <f>IF($C150="","",VLOOKUP($E150,'📊 SECCIONES'!$B$4:$S$9,7,FALSE()))</f>
        <v>24.5</v>
      </c>
      <c r="Q150" s="65">
        <f>IF($C150="","",VLOOKUP($E150,'📊 SECCIONES'!$B$4:$S$9,8,FALSE()))</f>
        <v>25206</v>
      </c>
      <c r="R150" s="64">
        <f>IF($C150="","",VLOOKUP($E150,'📊 SECCIONES'!$B$4:$S$9,10,FALSE()))</f>
        <v>32.6</v>
      </c>
      <c r="S150" s="61">
        <f>IF('📇 INVENTARIO'!K150="","",'📇 INVENTARIO'!K150)</f>
        <v>6</v>
      </c>
      <c r="T150" s="66" t="str">
        <f t="shared" si="8"/>
        <v>Objetivo: alcanzar calificación C. Actual: Cal.D. Mantenimiento de envolvente + instalación fotovoltaica en cubierta</v>
      </c>
      <c r="U150" s="59" t="str">
        <f t="shared" si="9"/>
        <v>Valorar ascensor (verificar)</v>
      </c>
      <c r="V150" s="67">
        <f>IF('📇 INVENTARIO'!L150="","",'📇 INVENTARIO'!L150)</f>
        <v>312.8</v>
      </c>
      <c r="W150" s="64">
        <f>IF($C150="","",V150*'⚙️ SUPUESTOS'!$C$8*'⚙️ SUPUESTOS'!$C$9)</f>
        <v>65.688000000000002</v>
      </c>
      <c r="X150" s="67">
        <f>IF('📇 INVENTARIO'!N150="","",'📇 INVENTARIO'!N150)</f>
        <v>1458</v>
      </c>
      <c r="Y150" s="67">
        <f>IF($C150="","",W150*X150*'⚙️ SUPUESTOS'!$C$7)</f>
        <v>86195.793600000005</v>
      </c>
      <c r="Z150" s="65">
        <f>IF($C150="","",W150*'⚙️ SUPUESTOS'!$C$10)</f>
        <v>87693.48</v>
      </c>
      <c r="AA150" s="65">
        <f>IF($C150="","",Y150*('⚙️ SUPUESTOS'!$C$12*'⚙️ SUPUESTOS'!$C$11+(1-'⚙️ SUPUESTOS'!$C$12)*'⚙️ SUPUESTOS'!$C$13))</f>
        <v>5878.5531235200015</v>
      </c>
      <c r="AB150" s="65">
        <f>IF($C150="","",IF(Y150&gt;0,ROUND(Y150*'⚙️ SUPUESTOS'!$C$12*'⚙️ SUPUESTOS'!$C$11,0),""))</f>
        <v>2155</v>
      </c>
      <c r="AC150" s="65">
        <f>IF($C150="","",IF(Y150&gt;0,ROUND(Y150*(1-'⚙️ SUPUESTOS'!$C$12)*'⚙️ SUPUESTOS'!$C$13,0),""))</f>
        <v>3724</v>
      </c>
      <c r="AD150" s="76">
        <f t="shared" si="10"/>
        <v>59270</v>
      </c>
      <c r="AE150" s="75">
        <f t="shared" si="11"/>
        <v>14.917527860578433</v>
      </c>
      <c r="AF150" s="70" t="str">
        <f>IF($C150="","",IF(AE150="","—",IF(AE150&lt;='⚙️ SUPUESTOS'!$C$32,"✔ Muy recomendable",IF(AE150&lt;='⚙️ SUPUESTOS'!$C$33,"✔ Recomendable","Valorar"))))</f>
        <v>✔ Muy recomendable</v>
      </c>
      <c r="AG150" s="79">
        <f>IF('📇 INVENTARIO'!O151="","",'📇 INVENTARIO'!O151)</f>
        <v>41.649009999999997</v>
      </c>
      <c r="AH150" s="79">
        <f>IF('📇 INVENTARIO'!P151="","",'📇 INVENTARIO'!P151)</f>
        <v>-4.7076200000000004</v>
      </c>
    </row>
    <row r="151" spans="1:34" ht="45" customHeight="1">
      <c r="A151" s="58">
        <f>IF($C151="","",RANK(O151,$O$3:$O$265,0)+COUNTIF($O$3:O151,O151)-1)</f>
        <v>149</v>
      </c>
      <c r="B151" s="59" t="str">
        <f>IF($C151="","",IF(A151&lt;='⚙️ SUPUESTOS'!$C$29,"Fase 1",IF(A151&lt;='⚙️ SUPUESTOS'!$C$30,"Fase 2","Fase 3")))</f>
        <v>Fase 3</v>
      </c>
      <c r="C151" s="60" t="str">
        <f>IF('📇 INVENTARIO'!B156="","",'📇 INVENTARIO'!B156)</f>
        <v>C/ Andarríos, 2</v>
      </c>
      <c r="D151" s="59" t="str">
        <f>IF('📇 INVENTARIO'!C156="","",'📇 INVENTARIO'!C156)</f>
        <v>7922505UM5172B</v>
      </c>
      <c r="E151" s="59" t="str">
        <f>IF('📇 INVENTARIO'!D156="","",'📇 INVENTARIO'!D156)</f>
        <v>4718606025</v>
      </c>
      <c r="F151" s="59" t="str">
        <f>IF('📇 INVENTARIO'!F156="","",'📇 INVENTARIO'!F156)</f>
        <v>G</v>
      </c>
      <c r="G151" s="61">
        <f>IF('📇 INVENTARIO'!G156="","",'📇 INVENTARIO'!G156)</f>
        <v>339</v>
      </c>
      <c r="H151" s="61">
        <f>IF('📇 INVENTARIO'!H156="","",'📇 INVENTARIO'!H156)</f>
        <v>72</v>
      </c>
      <c r="I151" s="61">
        <f>IF('📇 INVENTARIO'!I156="","",'📇 INVENTARIO'!I156)</f>
        <v>162.69999999999999</v>
      </c>
      <c r="J151" s="61">
        <f>IF('📇 INVENTARIO'!J156="","",'📇 INVENTARIO'!J156)</f>
        <v>1969</v>
      </c>
      <c r="K151" s="62">
        <f>IF($C151="","",(G151-'⚙️ SUPUESTOS'!$C$20)/('⚙️ SUPUESTOS'!$C$25-'⚙️ SUPUESTOS'!$C$20))</f>
        <v>0.33734939759036142</v>
      </c>
      <c r="L151" s="62">
        <f>IF($C151="","",VLOOKUP($E151,'📊 SECCIONES'!$B$4:$S$9,16,FALSE()))</f>
        <v>0</v>
      </c>
      <c r="M151" s="62">
        <f>IF($C151="","",VLOOKUP($E151,'📊 SECCIONES'!$B$4:$S$9,17,FALSE()))</f>
        <v>0</v>
      </c>
      <c r="N151" s="62">
        <f>IF($C151="","",VLOOKUP($E151,'📊 SECCIONES'!$B$4:$S$9,18,FALSE()))</f>
        <v>0.57727272727272727</v>
      </c>
      <c r="O151" s="63">
        <f>IF($C151="","",ROUND('⚙️ SUPUESTOS'!$C$21*K151+'⚙️ SUPUESTOS'!$C$22*L151+'⚙️ SUPUESTOS'!$C$23*M151+'⚙️ SUPUESTOS'!$C$24*N151,4))</f>
        <v>0.23749999999999999</v>
      </c>
      <c r="P151" s="64">
        <f>IF($C151="","",VLOOKUP($E151,'📊 SECCIONES'!$B$4:$S$9,7,FALSE()))</f>
        <v>20.3</v>
      </c>
      <c r="Q151" s="65">
        <f>IF($C151="","",VLOOKUP($E151,'📊 SECCIONES'!$B$4:$S$9,8,FALSE()))</f>
        <v>26404</v>
      </c>
      <c r="R151" s="64">
        <f>IF($C151="","",VLOOKUP($E151,'📊 SECCIONES'!$B$4:$S$9,10,FALSE()))</f>
        <v>23.3</v>
      </c>
      <c r="S151" s="61">
        <f>IF('📇 INVENTARIO'!K156="","",'📇 INVENTARIO'!K156)</f>
        <v>5</v>
      </c>
      <c r="T151" s="66" t="str">
        <f t="shared" si="8"/>
        <v>Objetivo: alcanzar calificación C. Actual: Cal.G. SATE integral + cubierta + carpinterías triple + aerotermia + instalación fotovoltaica</v>
      </c>
      <c r="U151" s="59" t="str">
        <f t="shared" si="9"/>
        <v>Valorar ascensor (verificar)</v>
      </c>
      <c r="V151" s="67">
        <f>IF('📇 INVENTARIO'!L156="","",'📇 INVENTARIO'!L156)</f>
        <v>343.2</v>
      </c>
      <c r="W151" s="64">
        <f>IF($C151="","",V151*'⚙️ SUPUESTOS'!$C$8*'⚙️ SUPUESTOS'!$C$9)</f>
        <v>72.071999999999989</v>
      </c>
      <c r="X151" s="67">
        <f>IF('📇 INVENTARIO'!N156="","",'📇 INVENTARIO'!N156)</f>
        <v>1259</v>
      </c>
      <c r="Y151" s="67">
        <f>IF($C151="","",W151*X151*'⚙️ SUPUESTOS'!$C$7)</f>
        <v>81664.783199999991</v>
      </c>
      <c r="Z151" s="65">
        <f>IF($C151="","",W151*'⚙️ SUPUESTOS'!$C$10)</f>
        <v>96216.119999999981</v>
      </c>
      <c r="AA151" s="65">
        <f>IF($C151="","",Y151*('⚙️ SUPUESTOS'!$C$12*'⚙️ SUPUESTOS'!$C$11+(1-'⚙️ SUPUESTOS'!$C$12)*'⚙️ SUPUESTOS'!$C$13))</f>
        <v>5569.5382142400003</v>
      </c>
      <c r="AB151" s="65">
        <f>IF($C151="","",IF(Y151&gt;0,ROUND(Y151*'⚙️ SUPUESTOS'!$C$12*'⚙️ SUPUESTOS'!$C$11,0),""))</f>
        <v>2042</v>
      </c>
      <c r="AC151" s="65">
        <f>IF($C151="","",IF(Y151&gt;0,ROUND(Y151*(1-'⚙️ SUPUESTOS'!$C$12)*'⚙️ SUPUESTOS'!$C$13,0),""))</f>
        <v>3528</v>
      </c>
      <c r="AD151" s="65">
        <f t="shared" si="10"/>
        <v>43022</v>
      </c>
      <c r="AE151" s="64">
        <f t="shared" si="11"/>
        <v>17.275421462051913</v>
      </c>
      <c r="AF151" s="59" t="str">
        <f>IF($C151="","",IF(AE151="","—",IF(AE151&lt;='⚙️ SUPUESTOS'!$C$32,"✔ Muy recomendable",IF(AE151&lt;='⚙️ SUPUESTOS'!$C$33,"✔ Recomendable","Valorar"))))</f>
        <v>Valorar</v>
      </c>
      <c r="AG151" s="68">
        <f>IF('📇 INVENTARIO'!O152="","",'📇 INVENTARIO'!O152)</f>
        <v>41.648200000000003</v>
      </c>
      <c r="AH151" s="68">
        <f>IF('📇 INVENTARIO'!P152="","",'📇 INVENTARIO'!P152)</f>
        <v>-4.7099399999999996</v>
      </c>
    </row>
    <row r="152" spans="1:34" ht="45" customHeight="1">
      <c r="A152" s="58">
        <f>IF($C152="","",RANK(O152,$O$3:$O$265,0)+COUNTIF($O$3:O152,O152)-1)</f>
        <v>150</v>
      </c>
      <c r="B152" s="59" t="str">
        <f>IF($C152="","",IF(A152&lt;='⚙️ SUPUESTOS'!$C$29,"Fase 1",IF(A152&lt;='⚙️ SUPUESTOS'!$C$30,"Fase 2","Fase 3")))</f>
        <v>Fase 3</v>
      </c>
      <c r="C152" s="60" t="str">
        <f>IF('📇 INVENTARIO'!B152="","",'📇 INVENTARIO'!B152)</f>
        <v>C/ Águila, 17</v>
      </c>
      <c r="D152" s="59" t="str">
        <f>IF('📇 INVENTARIO'!C152="","",'📇 INVENTARIO'!C152)</f>
        <v>7723701UM5172D</v>
      </c>
      <c r="E152" s="59" t="str">
        <f>IF('📇 INVENTARIO'!D152="","",'📇 INVENTARIO'!D152)</f>
        <v>4718606027</v>
      </c>
      <c r="F152" s="59" t="str">
        <f>IF('📇 INVENTARIO'!F152="","",'📇 INVENTARIO'!F152)</f>
        <v>E</v>
      </c>
      <c r="G152" s="61">
        <f>IF('📇 INVENTARIO'!G152="","",'📇 INVENTARIO'!G152)</f>
        <v>214</v>
      </c>
      <c r="H152" s="61">
        <f>IF('📇 INVENTARIO'!H152="","",'📇 INVENTARIO'!H152)</f>
        <v>45</v>
      </c>
      <c r="I152" s="61">
        <f>IF('📇 INVENTARIO'!I152="","",'📇 INVENTARIO'!I152)</f>
        <v>119.8</v>
      </c>
      <c r="J152" s="61">
        <f>IF('📇 INVENTARIO'!J152="","",'📇 INVENTARIO'!J152)</f>
        <v>1963</v>
      </c>
      <c r="K152" s="62">
        <f>IF($C152="","",(G152-'⚙️ SUPUESTOS'!$C$20)/('⚙️ SUPUESTOS'!$C$25-'⚙️ SUPUESTOS'!$C$20))</f>
        <v>0.12220309810671257</v>
      </c>
      <c r="L152" s="62">
        <f>IF($C152="","",VLOOKUP($E152,'📊 SECCIONES'!$B$4:$S$9,16,FALSE()))</f>
        <v>0.19481959841367916</v>
      </c>
      <c r="M152" s="62">
        <f>IF($C152="","",VLOOKUP($E152,'📊 SECCIONES'!$B$4:$S$9,17,FALSE()))</f>
        <v>0.2663212435233161</v>
      </c>
      <c r="N152" s="62">
        <f>IF($C152="","",VLOOKUP($E152,'📊 SECCIONES'!$B$4:$S$9,18,FALSE()))</f>
        <v>1</v>
      </c>
      <c r="O152" s="63">
        <f>IF($C152="","",ROUND('⚙️ SUPUESTOS'!$C$21*K152+'⚙️ SUPUESTOS'!$C$22*L152+'⚙️ SUPUESTOS'!$C$23*M152+'⚙️ SUPUESTOS'!$C$24*N152,4))</f>
        <v>0.2374</v>
      </c>
      <c r="P152" s="64">
        <f>IF($C152="","",VLOOKUP($E152,'📊 SECCIONES'!$B$4:$S$9,7,FALSE()))</f>
        <v>24.5</v>
      </c>
      <c r="Q152" s="65">
        <f>IF($C152="","",VLOOKUP($E152,'📊 SECCIONES'!$B$4:$S$9,8,FALSE()))</f>
        <v>25206</v>
      </c>
      <c r="R152" s="64">
        <f>IF($C152="","",VLOOKUP($E152,'📊 SECCIONES'!$B$4:$S$9,10,FALSE()))</f>
        <v>32.6</v>
      </c>
      <c r="S152" s="61">
        <f>IF('📇 INVENTARIO'!K152="","",'📇 INVENTARIO'!K152)</f>
        <v>5</v>
      </c>
      <c r="T152" s="66" t="str">
        <f t="shared" si="8"/>
        <v>Objetivo: alcanzar calificación C. Actual: Cal.E. SATE fachada + carpinterías doble + instalación fotovoltaica</v>
      </c>
      <c r="U152" s="59" t="str">
        <f t="shared" si="9"/>
        <v>Valorar ascensor (verificar)</v>
      </c>
      <c r="V152" s="67">
        <f>IF('📇 INVENTARIO'!L152="","",'📇 INVENTARIO'!L152)</f>
        <v>157</v>
      </c>
      <c r="W152" s="64">
        <f>IF($C152="","",V152*'⚙️ SUPUESTOS'!$C$8*'⚙️ SUPUESTOS'!$C$9)</f>
        <v>32.97</v>
      </c>
      <c r="X152" s="67">
        <f>IF('📇 INVENTARIO'!N152="","",'📇 INVENTARIO'!N152)</f>
        <v>1464</v>
      </c>
      <c r="Y152" s="67">
        <f>IF($C152="","",W152*X152*'⚙️ SUPUESTOS'!$C$7)</f>
        <v>43441.272000000004</v>
      </c>
      <c r="Z152" s="65">
        <f>IF($C152="","",W152*'⚙️ SUPUESTOS'!$C$10)</f>
        <v>44014.95</v>
      </c>
      <c r="AA152" s="65">
        <f>IF($C152="","",Y152*('⚙️ SUPUESTOS'!$C$12*'⚙️ SUPUESTOS'!$C$11+(1-'⚙️ SUPUESTOS'!$C$12)*'⚙️ SUPUESTOS'!$C$13))</f>
        <v>2962.6947504000009</v>
      </c>
      <c r="AB152" s="65">
        <f>IF($C152="","",IF(Y152&gt;0,ROUND(Y152*'⚙️ SUPUESTOS'!$C$12*'⚙️ SUPUESTOS'!$C$11,0),""))</f>
        <v>1086</v>
      </c>
      <c r="AC152" s="65">
        <f>IF($C152="","",IF(Y152&gt;0,ROUND(Y152*(1-'⚙️ SUPUESTOS'!$C$12)*'⚙️ SUPUESTOS'!$C$13,0),""))</f>
        <v>1877</v>
      </c>
      <c r="AD152" s="76">
        <f t="shared" si="10"/>
        <v>30052</v>
      </c>
      <c r="AE152" s="75">
        <f t="shared" si="11"/>
        <v>14.856390451313766</v>
      </c>
      <c r="AF152" s="70" t="str">
        <f>IF($C152="","",IF(AE152="","—",IF(AE152&lt;='⚙️ SUPUESTOS'!$C$32,"✔ Muy recomendable",IF(AE152&lt;='⚙️ SUPUESTOS'!$C$33,"✔ Recomendable","Valorar"))))</f>
        <v>✔ Muy recomendable</v>
      </c>
      <c r="AG152" s="79">
        <f>IF('📇 INVENTARIO'!O153="","",'📇 INVENTARIO'!O153)</f>
        <v>41.646610000000003</v>
      </c>
      <c r="AH152" s="79">
        <f>IF('📇 INVENTARIO'!P153="","",'📇 INVENTARIO'!P153)</f>
        <v>-4.7086499999999996</v>
      </c>
    </row>
    <row r="153" spans="1:34" ht="45" customHeight="1">
      <c r="A153" s="69">
        <f>IF($C153="","",RANK(O153,$O$3:$O$265,0)+COUNTIF($O$3:O153,O153)-1)</f>
        <v>151</v>
      </c>
      <c r="B153" s="70" t="str">
        <f>IF($C153="","",IF(A153&lt;='⚙️ SUPUESTOS'!$C$29,"Fase 1",IF(A153&lt;='⚙️ SUPUESTOS'!$C$30,"Fase 2","Fase 3")))</f>
        <v>Fase 3</v>
      </c>
      <c r="C153" s="71" t="str">
        <f>IF('📇 INVENTARIO'!B153="","",'📇 INVENTARIO'!B153)</f>
        <v>C/ Gallo, 11</v>
      </c>
      <c r="D153" s="70" t="str">
        <f>IF('📇 INVENTARIO'!C153="","",'📇 INVENTARIO'!C153)</f>
        <v>7822106UM5172B</v>
      </c>
      <c r="E153" s="70" t="str">
        <f>IF('📇 INVENTARIO'!D153="","",'📇 INVENTARIO'!D153)</f>
        <v>4718606028</v>
      </c>
      <c r="F153" s="70" t="str">
        <f>IF('📇 INVENTARIO'!F153="","",'📇 INVENTARIO'!F153)</f>
        <v>E</v>
      </c>
      <c r="G153" s="72">
        <f>IF('📇 INVENTARIO'!G153="","",'📇 INVENTARIO'!G153)</f>
        <v>218</v>
      </c>
      <c r="H153" s="72">
        <f>IF('📇 INVENTARIO'!H153="","",'📇 INVENTARIO'!H153)</f>
        <v>46</v>
      </c>
      <c r="I153" s="72">
        <f>IF('📇 INVENTARIO'!I153="","",'📇 INVENTARIO'!I153)</f>
        <v>79.2</v>
      </c>
      <c r="J153" s="72">
        <f>IF('📇 INVENTARIO'!J153="","",'📇 INVENTARIO'!J153)</f>
        <v>1970</v>
      </c>
      <c r="K153" s="73">
        <f>IF($C153="","",(G153-'⚙️ SUPUESTOS'!$C$20)/('⚙️ SUPUESTOS'!$C$25-'⚙️ SUPUESTOS'!$C$20))</f>
        <v>0.12908777969018934</v>
      </c>
      <c r="L153" s="73">
        <f>IF($C153="","",VLOOKUP($E153,'📊 SECCIONES'!$B$4:$S$9,16,FALSE()))</f>
        <v>0.24395028956990591</v>
      </c>
      <c r="M153" s="73">
        <f>IF($C153="","",VLOOKUP($E153,'📊 SECCIONES'!$B$4:$S$9,17,FALSE()))</f>
        <v>0.34507772020725386</v>
      </c>
      <c r="N153" s="73">
        <f>IF($C153="","",VLOOKUP($E153,'📊 SECCIONES'!$B$4:$S$9,18,FALSE()))</f>
        <v>0.70909090909090911</v>
      </c>
      <c r="O153" s="74">
        <f>IF($C153="","",ROUND('⚙️ SUPUESTOS'!$C$21*K153+'⚙️ SUPUESTOS'!$C$22*L153+'⚙️ SUPUESTOS'!$C$23*M153+'⚙️ SUPUESTOS'!$C$24*N153,4))</f>
        <v>0.23680000000000001</v>
      </c>
      <c r="P153" s="75">
        <f>IF($C153="","",VLOOKUP($E153,'📊 SECCIONES'!$B$4:$S$9,7,FALSE()))</f>
        <v>29.81</v>
      </c>
      <c r="Q153" s="76">
        <f>IF($C153="","",VLOOKUP($E153,'📊 SECCIONES'!$B$4:$S$9,8,FALSE()))</f>
        <v>23665</v>
      </c>
      <c r="R153" s="75">
        <f>IF($C153="","",VLOOKUP($E153,'📊 SECCIONES'!$B$4:$S$9,10,FALSE()))</f>
        <v>26.2</v>
      </c>
      <c r="S153" s="72">
        <f>IF('📇 INVENTARIO'!K153="","",'📇 INVENTARIO'!K153)</f>
        <v>6</v>
      </c>
      <c r="T153" s="77" t="str">
        <f t="shared" si="8"/>
        <v>Objetivo: alcanzar calificación C. Actual: Cal.E. SATE fachada + carpinterías doble + instalación fotovoltaica</v>
      </c>
      <c r="U153" s="70" t="str">
        <f t="shared" si="9"/>
        <v>Valorar ascensor (verificar)</v>
      </c>
      <c r="V153" s="78">
        <f>IF('📇 INVENTARIO'!L153="","",'📇 INVENTARIO'!L153)</f>
        <v>320.60000000000002</v>
      </c>
      <c r="W153" s="75">
        <f>IF($C153="","",V153*'⚙️ SUPUESTOS'!$C$8*'⚙️ SUPUESTOS'!$C$9)</f>
        <v>67.326000000000008</v>
      </c>
      <c r="X153" s="78">
        <f>IF('📇 INVENTARIO'!N153="","",'📇 INVENTARIO'!N153)</f>
        <v>1425</v>
      </c>
      <c r="Y153" s="78">
        <f>IF($C153="","",W153*X153*'⚙️ SUPUESTOS'!$C$7)</f>
        <v>86345.595000000016</v>
      </c>
      <c r="Z153" s="76">
        <f>IF($C153="","",W153*'⚙️ SUPUESTOS'!$C$10)</f>
        <v>89880.21</v>
      </c>
      <c r="AA153" s="76">
        <f>IF($C153="","",Y153*('⚙️ SUPUESTOS'!$C$12*'⚙️ SUPUESTOS'!$C$11+(1-'⚙️ SUPUESTOS'!$C$12)*'⚙️ SUPUESTOS'!$C$13))</f>
        <v>5888.7695790000016</v>
      </c>
      <c r="AB153" s="76">
        <f>IF($C153="","",IF(Y153&gt;0,ROUND(Y153*'⚙️ SUPUESTOS'!$C$12*'⚙️ SUPUESTOS'!$C$11,0),""))</f>
        <v>2159</v>
      </c>
      <c r="AC153" s="76">
        <f>IF($C153="","",IF(Y153&gt;0,ROUND(Y153*(1-'⚙️ SUPUESTOS'!$C$12)*'⚙️ SUPUESTOS'!$C$13,0),""))</f>
        <v>3730</v>
      </c>
      <c r="AD153" s="65">
        <f t="shared" si="10"/>
        <v>57339</v>
      </c>
      <c r="AE153" s="64">
        <f t="shared" si="11"/>
        <v>15.26298640050762</v>
      </c>
      <c r="AF153" s="59" t="str">
        <f>IF($C153="","",IF(AE153="","—",IF(AE153&lt;='⚙️ SUPUESTOS'!$C$32,"✔ Muy recomendable",IF(AE153&lt;='⚙️ SUPUESTOS'!$C$33,"✔ Recomendable","Valorar"))))</f>
        <v>✔ Recomendable</v>
      </c>
      <c r="AG153" s="68">
        <f>IF('📇 INVENTARIO'!O154="","",'📇 INVENTARIO'!O154)</f>
        <v>41.648510000000002</v>
      </c>
      <c r="AH153" s="68">
        <f>IF('📇 INVENTARIO'!P154="","",'📇 INVENTARIO'!P154)</f>
        <v>-4.7115600000000004</v>
      </c>
    </row>
    <row r="154" spans="1:34" ht="45" customHeight="1">
      <c r="A154" s="58">
        <f>IF($C154="","",RANK(O154,$O$3:$O$265,0)+COUNTIF($O$3:O154,O154)-1)</f>
        <v>152</v>
      </c>
      <c r="B154" s="59" t="str">
        <f>IF($C154="","",IF(A154&lt;='⚙️ SUPUESTOS'!$C$29,"Fase 1",IF(A154&lt;='⚙️ SUPUESTOS'!$C$30,"Fase 2","Fase 3")))</f>
        <v>Fase 3</v>
      </c>
      <c r="C154" s="60" t="str">
        <f>IF('📇 INVENTARIO'!B154="","",'📇 INVENTARIO'!B154)</f>
        <v>C/ Martín Pescador, 1</v>
      </c>
      <c r="D154" s="59" t="str">
        <f>IF('📇 INVENTARIO'!C154="","",'📇 INVENTARIO'!C154)</f>
        <v>7624001UM5172D</v>
      </c>
      <c r="E154" s="59" t="str">
        <f>IF('📇 INVENTARIO'!D154="","",'📇 INVENTARIO'!D154)</f>
        <v>4718606027</v>
      </c>
      <c r="F154" s="59" t="str">
        <f>IF('📇 INVENTARIO'!F154="","",'📇 INVENTARIO'!F154)</f>
        <v>E</v>
      </c>
      <c r="G154" s="61">
        <f>IF('📇 INVENTARIO'!G154="","",'📇 INVENTARIO'!G154)</f>
        <v>211</v>
      </c>
      <c r="H154" s="61">
        <f>IF('📇 INVENTARIO'!H154="","",'📇 INVENTARIO'!H154)</f>
        <v>44.5</v>
      </c>
      <c r="I154" s="61">
        <f>IF('📇 INVENTARIO'!I154="","",'📇 INVENTARIO'!I154)</f>
        <v>107.3</v>
      </c>
      <c r="J154" s="61">
        <f>IF('📇 INVENTARIO'!J154="","",'📇 INVENTARIO'!J154)</f>
        <v>1977</v>
      </c>
      <c r="K154" s="62">
        <f>IF($C154="","",(G154-'⚙️ SUPUESTOS'!$C$20)/('⚙️ SUPUESTOS'!$C$25-'⚙️ SUPUESTOS'!$C$20))</f>
        <v>0.11703958691910499</v>
      </c>
      <c r="L154" s="62">
        <f>IF($C154="","",VLOOKUP($E154,'📊 SECCIONES'!$B$4:$S$9,16,FALSE()))</f>
        <v>0.19481959841367916</v>
      </c>
      <c r="M154" s="62">
        <f>IF($C154="","",VLOOKUP($E154,'📊 SECCIONES'!$B$4:$S$9,17,FALSE()))</f>
        <v>0.2663212435233161</v>
      </c>
      <c r="N154" s="62">
        <f>IF($C154="","",VLOOKUP($E154,'📊 SECCIONES'!$B$4:$S$9,18,FALSE()))</f>
        <v>1</v>
      </c>
      <c r="O154" s="63">
        <f>IF($C154="","",ROUND('⚙️ SUPUESTOS'!$C$21*K154+'⚙️ SUPUESTOS'!$C$22*L154+'⚙️ SUPUESTOS'!$C$23*M154+'⚙️ SUPUESTOS'!$C$24*N154,4))</f>
        <v>0.23449999999999999</v>
      </c>
      <c r="P154" s="64">
        <f>IF($C154="","",VLOOKUP($E154,'📊 SECCIONES'!$B$4:$S$9,7,FALSE()))</f>
        <v>24.5</v>
      </c>
      <c r="Q154" s="65">
        <f>IF($C154="","",VLOOKUP($E154,'📊 SECCIONES'!$B$4:$S$9,8,FALSE()))</f>
        <v>25206</v>
      </c>
      <c r="R154" s="64">
        <f>IF($C154="","",VLOOKUP($E154,'📊 SECCIONES'!$B$4:$S$9,10,FALSE()))</f>
        <v>32.6</v>
      </c>
      <c r="S154" s="61">
        <f>IF('📇 INVENTARIO'!K154="","",'📇 INVENTARIO'!K154)</f>
        <v>7</v>
      </c>
      <c r="T154" s="66" t="str">
        <f t="shared" si="8"/>
        <v>Objetivo: alcanzar calificación C. Actual: Cal.E. SATE fachada + carpinterías doble + instalación fotovoltaica</v>
      </c>
      <c r="U154" s="59" t="str">
        <f t="shared" si="9"/>
        <v>Valorar ascensor (verificar)</v>
      </c>
      <c r="V154" s="67">
        <f>IF('📇 INVENTARIO'!L154="","",'📇 INVENTARIO'!L154)</f>
        <v>927.7</v>
      </c>
      <c r="W154" s="64">
        <f>IF($C154="","",V154*'⚙️ SUPUESTOS'!$C$8*'⚙️ SUPUESTOS'!$C$9)</f>
        <v>194.81700000000001</v>
      </c>
      <c r="X154" s="67">
        <f>IF('📇 INVENTARIO'!N154="","",'📇 INVENTARIO'!N154)</f>
        <v>1444</v>
      </c>
      <c r="Y154" s="67">
        <f>IF($C154="","",W154*X154*'⚙️ SUPUESTOS'!$C$7)</f>
        <v>253184.17320000002</v>
      </c>
      <c r="Z154" s="65">
        <f>IF($C154="","",W154*'⚙️ SUPUESTOS'!$C$10)</f>
        <v>260080.69500000001</v>
      </c>
      <c r="AA154" s="65">
        <f>IF($C154="","",Y154*('⚙️ SUPUESTOS'!$C$12*'⚙️ SUPUESTOS'!$C$11+(1-'⚙️ SUPUESTOS'!$C$12)*'⚙️ SUPUESTOS'!$C$13))</f>
        <v>17267.160612240004</v>
      </c>
      <c r="AB154" s="65">
        <f>IF($C154="","",IF(Y154&gt;0,ROUND(Y154*'⚙️ SUPUESTOS'!$C$12*'⚙️ SUPUESTOS'!$C$11,0),""))</f>
        <v>6330</v>
      </c>
      <c r="AC154" s="65">
        <f>IF($C154="","",IF(Y154&gt;0,ROUND(Y154*(1-'⚙️ SUPUESTOS'!$C$12)*'⚙️ SUPUESTOS'!$C$13,0),""))</f>
        <v>10938</v>
      </c>
      <c r="AD154" s="76">
        <f t="shared" si="10"/>
        <v>171598</v>
      </c>
      <c r="AE154" s="75">
        <f t="shared" si="11"/>
        <v>15.062157632079888</v>
      </c>
      <c r="AF154" s="70" t="str">
        <f>IF($C154="","",IF(AE154="","—",IF(AE154&lt;='⚙️ SUPUESTOS'!$C$32,"✔ Muy recomendable",IF(AE154&lt;='⚙️ SUPUESTOS'!$C$33,"✔ Recomendable","Valorar"))))</f>
        <v>✔ Recomendable</v>
      </c>
      <c r="AG154" s="79">
        <f>IF('📇 INVENTARIO'!O155="","",'📇 INVENTARIO'!O155)</f>
        <v>41.648119999999999</v>
      </c>
      <c r="AH154" s="79">
        <f>IF('📇 INVENTARIO'!P155="","",'📇 INVENTARIO'!P155)</f>
        <v>-4.7096799999999996</v>
      </c>
    </row>
    <row r="155" spans="1:34" ht="45" customHeight="1">
      <c r="A155" s="69">
        <f>IF($C155="","",RANK(O155,$O$3:$O$265,0)+COUNTIF($O$3:O155,O155)-1)</f>
        <v>153</v>
      </c>
      <c r="B155" s="70" t="str">
        <f>IF($C155="","",IF(A155&lt;='⚙️ SUPUESTOS'!$C$29,"Fase 1",IF(A155&lt;='⚙️ SUPUESTOS'!$C$30,"Fase 2","Fase 3")))</f>
        <v>Fase 3</v>
      </c>
      <c r="C155" s="71" t="str">
        <f>IF('📇 INVENTARIO'!B155="","",'📇 INVENTARIO'!B155)</f>
        <v>C/ Águila, 12</v>
      </c>
      <c r="D155" s="70" t="str">
        <f>IF('📇 INVENTARIO'!C155="","",'📇 INVENTARIO'!C155)</f>
        <v>7723412UM5172D</v>
      </c>
      <c r="E155" s="70" t="str">
        <f>IF('📇 INVENTARIO'!D155="","",'📇 INVENTARIO'!D155)</f>
        <v>4718606028</v>
      </c>
      <c r="F155" s="70" t="str">
        <f>IF('📇 INVENTARIO'!F155="","",'📇 INVENTARIO'!F155)</f>
        <v>E</v>
      </c>
      <c r="G155" s="72">
        <f>IF('📇 INVENTARIO'!G155="","",'📇 INVENTARIO'!G155)</f>
        <v>214</v>
      </c>
      <c r="H155" s="72">
        <f>IF('📇 INVENTARIO'!H155="","",'📇 INVENTARIO'!H155)</f>
        <v>45</v>
      </c>
      <c r="I155" s="72">
        <f>IF('📇 INVENTARIO'!I155="","",'📇 INVENTARIO'!I155)</f>
        <v>93.6</v>
      </c>
      <c r="J155" s="72">
        <f>IF('📇 INVENTARIO'!J155="","",'📇 INVENTARIO'!J155)</f>
        <v>1967</v>
      </c>
      <c r="K155" s="73">
        <f>IF($C155="","",(G155-'⚙️ SUPUESTOS'!$C$20)/('⚙️ SUPUESTOS'!$C$25-'⚙️ SUPUESTOS'!$C$20))</f>
        <v>0.12220309810671257</v>
      </c>
      <c r="L155" s="73">
        <f>IF($C155="","",VLOOKUP($E155,'📊 SECCIONES'!$B$4:$S$9,16,FALSE()))</f>
        <v>0.24395028956990591</v>
      </c>
      <c r="M155" s="73">
        <f>IF($C155="","",VLOOKUP($E155,'📊 SECCIONES'!$B$4:$S$9,17,FALSE()))</f>
        <v>0.34507772020725386</v>
      </c>
      <c r="N155" s="73">
        <f>IF($C155="","",VLOOKUP($E155,'📊 SECCIONES'!$B$4:$S$9,18,FALSE()))</f>
        <v>0.70909090909090911</v>
      </c>
      <c r="O155" s="74">
        <f>IF($C155="","",ROUND('⚙️ SUPUESTOS'!$C$21*K155+'⚙️ SUPUESTOS'!$C$22*L155+'⚙️ SUPUESTOS'!$C$23*M155+'⚙️ SUPUESTOS'!$C$24*N155,4))</f>
        <v>0.23300000000000001</v>
      </c>
      <c r="P155" s="75">
        <f>IF($C155="","",VLOOKUP($E155,'📊 SECCIONES'!$B$4:$S$9,7,FALSE()))</f>
        <v>29.81</v>
      </c>
      <c r="Q155" s="76">
        <f>IF($C155="","",VLOOKUP($E155,'📊 SECCIONES'!$B$4:$S$9,8,FALSE()))</f>
        <v>23665</v>
      </c>
      <c r="R155" s="75">
        <f>IF($C155="","",VLOOKUP($E155,'📊 SECCIONES'!$B$4:$S$9,10,FALSE()))</f>
        <v>26.2</v>
      </c>
      <c r="S155" s="72">
        <f>IF('📇 INVENTARIO'!K155="","",'📇 INVENTARIO'!K155)</f>
        <v>6</v>
      </c>
      <c r="T155" s="77" t="str">
        <f t="shared" si="8"/>
        <v>Objetivo: alcanzar calificación C. Actual: Cal.E. SATE fachada + carpinterías doble + instalación fotovoltaica</v>
      </c>
      <c r="U155" s="70" t="str">
        <f t="shared" si="9"/>
        <v>Valorar ascensor (verificar)</v>
      </c>
      <c r="V155" s="78">
        <f>IF('📇 INVENTARIO'!L155="","",'📇 INVENTARIO'!L155)</f>
        <v>398.3</v>
      </c>
      <c r="W155" s="75">
        <f>IF($C155="","",V155*'⚙️ SUPUESTOS'!$C$8*'⚙️ SUPUESTOS'!$C$9)</f>
        <v>83.643000000000001</v>
      </c>
      <c r="X155" s="78">
        <f>IF('📇 INVENTARIO'!N155="","",'📇 INVENTARIO'!N155)</f>
        <v>1332</v>
      </c>
      <c r="Y155" s="78">
        <f>IF($C155="","",W155*X155*'⚙️ SUPUESTOS'!$C$7)</f>
        <v>100271.22839999999</v>
      </c>
      <c r="Z155" s="76">
        <f>IF($C155="","",W155*'⚙️ SUPUESTOS'!$C$10)</f>
        <v>111663.405</v>
      </c>
      <c r="AA155" s="76">
        <f>IF($C155="","",Y155*('⚙️ SUPUESTOS'!$C$12*'⚙️ SUPUESTOS'!$C$11+(1-'⚙️ SUPUESTOS'!$C$12)*'⚙️ SUPUESTOS'!$C$13))</f>
        <v>6838.4977768800009</v>
      </c>
      <c r="AB155" s="76">
        <f>IF($C155="","",IF(Y155&gt;0,ROUND(Y155*'⚙️ SUPUESTOS'!$C$12*'⚙️ SUPUESTOS'!$C$11,0),""))</f>
        <v>2507</v>
      </c>
      <c r="AC155" s="76">
        <f>IF($C155="","",IF(Y155&gt;0,ROUND(Y155*(1-'⚙️ SUPUESTOS'!$C$12)*'⚙️ SUPUESTOS'!$C$13,0),""))</f>
        <v>4332</v>
      </c>
      <c r="AD155" s="65">
        <f t="shared" si="10"/>
        <v>59299</v>
      </c>
      <c r="AE155" s="64">
        <f t="shared" si="11"/>
        <v>16.328645360903423</v>
      </c>
      <c r="AF155" s="59" t="str">
        <f>IF($C155="","",IF(AE155="","—",IF(AE155&lt;='⚙️ SUPUESTOS'!$C$32,"✔ Muy recomendable",IF(AE155&lt;='⚙️ SUPUESTOS'!$C$33,"✔ Recomendable","Valorar"))))</f>
        <v>Valorar</v>
      </c>
      <c r="AG155" s="68">
        <f>IF('📇 INVENTARIO'!O156="","",'📇 INVENTARIO'!O156)</f>
        <v>41.646372999999997</v>
      </c>
      <c r="AH155" s="68">
        <f>IF('📇 INVENTARIO'!P156="","",'📇 INVENTARIO'!P156)</f>
        <v>-4.707973</v>
      </c>
    </row>
    <row r="156" spans="1:34" ht="45" customHeight="1">
      <c r="A156" s="69">
        <f>IF($C156="","",RANK(O156,$O$3:$O$265,0)+COUNTIF($O$3:O156,O156)-1)</f>
        <v>154</v>
      </c>
      <c r="B156" s="70" t="str">
        <f>IF($C156="","",IF(A156&lt;='⚙️ SUPUESTOS'!$C$29,"Fase 1",IF(A156&lt;='⚙️ SUPUESTOS'!$C$30,"Fase 2","Fase 3")))</f>
        <v>Fase 3</v>
      </c>
      <c r="C156" s="71" t="str">
        <f>IF('📇 INVENTARIO'!B157="","",'📇 INVENTARIO'!B157)</f>
        <v>Pso. del Cauce, 92</v>
      </c>
      <c r="D156" s="70" t="str">
        <f>IF('📇 INVENTARIO'!C157="","",'📇 INVENTARIO'!C157)</f>
        <v>7926601UM5172F</v>
      </c>
      <c r="E156" s="70" t="str">
        <f>IF('📇 INVENTARIO'!D157="","",'📇 INVENTARIO'!D157)</f>
        <v>4718606024</v>
      </c>
      <c r="F156" s="70" t="str">
        <f>IF('📇 INVENTARIO'!F157="","",'📇 INVENTARIO'!F157)</f>
        <v>E</v>
      </c>
      <c r="G156" s="72">
        <f>IF('📇 INVENTARIO'!G157="","",'📇 INVENTARIO'!G157)</f>
        <v>257</v>
      </c>
      <c r="H156" s="72">
        <f>IF('📇 INVENTARIO'!H157="","",'📇 INVENTARIO'!H157)</f>
        <v>54.5</v>
      </c>
      <c r="I156" s="72">
        <f>IF('📇 INVENTARIO'!I157="","",'📇 INVENTARIO'!I157)</f>
        <v>125.4</v>
      </c>
      <c r="J156" s="72">
        <f>IF('📇 INVENTARIO'!J157="","",'📇 INVENTARIO'!J157)</f>
        <v>1971</v>
      </c>
      <c r="K156" s="73">
        <f>IF($C156="","",(G156-'⚙️ SUPUESTOS'!$C$20)/('⚙️ SUPUESTOS'!$C$25-'⚙️ SUPUESTOS'!$C$20))</f>
        <v>0.19621342512908779</v>
      </c>
      <c r="L156" s="73">
        <f>IF($C156="","",VLOOKUP($E156,'📊 SECCIONES'!$B$4:$S$9,16,FALSE()))</f>
        <v>0.13391192517993736</v>
      </c>
      <c r="M156" s="73">
        <f>IF($C156="","",VLOOKUP($E156,'📊 SECCIONES'!$B$4:$S$9,17,FALSE()))</f>
        <v>0.16476683937823833</v>
      </c>
      <c r="N156" s="73">
        <f>IF($C156="","",VLOOKUP($E156,'📊 SECCIONES'!$B$4:$S$9,18,FALSE()))</f>
        <v>0.79545454545454541</v>
      </c>
      <c r="O156" s="74">
        <f>IF($C156="","",ROUND('⚙️ SUPUESTOS'!$C$21*K156+'⚙️ SUPUESTOS'!$C$22*L156+'⚙️ SUPUESTOS'!$C$23*M156+'⚙️ SUPUESTOS'!$C$24*N156,4))</f>
        <v>0.23200000000000001</v>
      </c>
      <c r="P156" s="75">
        <f>IF($C156="","",VLOOKUP($E156,'📊 SECCIONES'!$B$4:$S$9,7,FALSE()))</f>
        <v>30.06</v>
      </c>
      <c r="Q156" s="76">
        <f>IF($C156="","",VLOOKUP($E156,'📊 SECCIONES'!$B$4:$S$9,8,FALSE()))</f>
        <v>25132</v>
      </c>
      <c r="R156" s="75">
        <f>IF($C156="","",VLOOKUP($E156,'📊 SECCIONES'!$B$4:$S$9,10,FALSE()))</f>
        <v>28.1</v>
      </c>
      <c r="S156" s="72">
        <f>IF('📇 INVENTARIO'!K157="","",'📇 INVENTARIO'!K157)</f>
        <v>6</v>
      </c>
      <c r="T156" s="77" t="str">
        <f t="shared" si="8"/>
        <v>Objetivo: alcanzar calificación C. Actual: Cal.E. SATE fachada + carpinterías doble + instalación fotovoltaica</v>
      </c>
      <c r="U156" s="70" t="str">
        <f t="shared" si="9"/>
        <v>Valorar ascensor (verificar)</v>
      </c>
      <c r="V156" s="78">
        <f>IF('📇 INVENTARIO'!L157="","",'📇 INVENTARIO'!L157)</f>
        <v>482.4</v>
      </c>
      <c r="W156" s="75">
        <f>IF($C156="","",V156*'⚙️ SUPUESTOS'!$C$8*'⚙️ SUPUESTOS'!$C$9)</f>
        <v>101.30399999999999</v>
      </c>
      <c r="X156" s="78">
        <f>IF('📇 INVENTARIO'!N157="","",'📇 INVENTARIO'!N157)</f>
        <v>1451</v>
      </c>
      <c r="Y156" s="78">
        <f>IF($C156="","",W156*X156*'⚙️ SUPUESTOS'!$C$7)</f>
        <v>132292.89360000001</v>
      </c>
      <c r="Z156" s="76">
        <f>IF($C156="","",W156*'⚙️ SUPUESTOS'!$C$10)</f>
        <v>135240.84</v>
      </c>
      <c r="AA156" s="76">
        <f>IF($C156="","",Y156*('⚙️ SUPUESTOS'!$C$12*'⚙️ SUPUESTOS'!$C$11+(1-'⚙️ SUPUESTOS'!$C$12)*'⚙️ SUPUESTOS'!$C$13))</f>
        <v>9022.3753435200015</v>
      </c>
      <c r="AB156" s="76">
        <f>IF($C156="","",IF(Y156&gt;0,ROUND(Y156*'⚙️ SUPUESTOS'!$C$12*'⚙️ SUPUESTOS'!$C$11,0),""))</f>
        <v>3307</v>
      </c>
      <c r="AC156" s="76">
        <f>IF($C156="","",IF(Y156&gt;0,ROUND(Y156*(1-'⚙️ SUPUESTOS'!$C$12)*'⚙️ SUPUESTOS'!$C$13,0),""))</f>
        <v>5715</v>
      </c>
      <c r="AD156" s="76">
        <f t="shared" si="10"/>
        <v>90319</v>
      </c>
      <c r="AE156" s="75">
        <f t="shared" si="11"/>
        <v>14.989493880581225</v>
      </c>
      <c r="AF156" s="70" t="str">
        <f>IF($C156="","",IF(AE156="","—",IF(AE156&lt;='⚙️ SUPUESTOS'!$C$32,"✔ Muy recomendable",IF(AE156&lt;='⚙️ SUPUESTOS'!$C$33,"✔ Recomendable","Valorar"))))</f>
        <v>✔ Muy recomendable</v>
      </c>
      <c r="AG156" s="79">
        <f>IF('📇 INVENTARIO'!O157="","",'📇 INVENTARIO'!O157)</f>
        <v>41.650742999999999</v>
      </c>
      <c r="AH156" s="79">
        <f>IF('📇 INVENTARIO'!P157="","",'📇 INVENTARIO'!P157)</f>
        <v>-4.7081650000000002</v>
      </c>
    </row>
    <row r="157" spans="1:34" ht="45" customHeight="1">
      <c r="A157" s="58">
        <f>IF($C157="","",RANK(O157,$O$3:$O$265,0)+COUNTIF($O$3:O157,O157)-1)</f>
        <v>155</v>
      </c>
      <c r="B157" s="59" t="str">
        <f>IF($C157="","",IF(A157&lt;='⚙️ SUPUESTOS'!$C$29,"Fase 1",IF(A157&lt;='⚙️ SUPUESTOS'!$C$30,"Fase 2","Fase 3")))</f>
        <v>Fase 3</v>
      </c>
      <c r="C157" s="60" t="str">
        <f>IF('📇 INVENTARIO'!B158="","",'📇 INVENTARIO'!B158)</f>
        <v>C/ Juan Carlos I, 103</v>
      </c>
      <c r="D157" s="59" t="str">
        <f>IF('📇 INVENTARIO'!C158="","",'📇 INVENTARIO'!C158)</f>
        <v>8024001UM5182C</v>
      </c>
      <c r="E157" s="59" t="str">
        <f>IF('📇 INVENTARIO'!D158="","",'📇 INVENTARIO'!D158)</f>
        <v>4718606024</v>
      </c>
      <c r="F157" s="59" t="str">
        <f>IF('📇 INVENTARIO'!F158="","",'📇 INVENTARIO'!F158)</f>
        <v>F</v>
      </c>
      <c r="G157" s="61">
        <f>IF('📇 INVENTARIO'!G158="","",'📇 INVENTARIO'!G158)</f>
        <v>257</v>
      </c>
      <c r="H157" s="61">
        <f>IF('📇 INVENTARIO'!H158="","",'📇 INVENTARIO'!H158)</f>
        <v>54</v>
      </c>
      <c r="I157" s="61">
        <f>IF('📇 INVENTARIO'!I158="","",'📇 INVENTARIO'!I158)</f>
        <v>126</v>
      </c>
      <c r="J157" s="61">
        <f>IF('📇 INVENTARIO'!J158="","",'📇 INVENTARIO'!J158)</f>
        <v>1978</v>
      </c>
      <c r="K157" s="62">
        <f>IF($C157="","",(G157-'⚙️ SUPUESTOS'!$C$20)/('⚙️ SUPUESTOS'!$C$25-'⚙️ SUPUESTOS'!$C$20))</f>
        <v>0.19621342512908779</v>
      </c>
      <c r="L157" s="62">
        <f>IF($C157="","",VLOOKUP($E157,'📊 SECCIONES'!$B$4:$S$9,16,FALSE()))</f>
        <v>0.13391192517993736</v>
      </c>
      <c r="M157" s="62">
        <f>IF($C157="","",VLOOKUP($E157,'📊 SECCIONES'!$B$4:$S$9,17,FALSE()))</f>
        <v>0.16476683937823833</v>
      </c>
      <c r="N157" s="62">
        <f>IF($C157="","",VLOOKUP($E157,'📊 SECCIONES'!$B$4:$S$9,18,FALSE()))</f>
        <v>0.79545454545454541</v>
      </c>
      <c r="O157" s="63">
        <f>IF($C157="","",ROUND('⚙️ SUPUESTOS'!$C$21*K157+'⚙️ SUPUESTOS'!$C$22*L157+'⚙️ SUPUESTOS'!$C$23*M157+'⚙️ SUPUESTOS'!$C$24*N157,4))</f>
        <v>0.23200000000000001</v>
      </c>
      <c r="P157" s="64">
        <f>IF($C157="","",VLOOKUP($E157,'📊 SECCIONES'!$B$4:$S$9,7,FALSE()))</f>
        <v>30.06</v>
      </c>
      <c r="Q157" s="65">
        <f>IF($C157="","",VLOOKUP($E157,'📊 SECCIONES'!$B$4:$S$9,8,FALSE()))</f>
        <v>25132</v>
      </c>
      <c r="R157" s="64">
        <f>IF($C157="","",VLOOKUP($E157,'📊 SECCIONES'!$B$4:$S$9,10,FALSE()))</f>
        <v>28.1</v>
      </c>
      <c r="S157" s="61">
        <f>IF('📇 INVENTARIO'!K158="","",'📇 INVENTARIO'!K158)</f>
        <v>5</v>
      </c>
      <c r="T157" s="66" t="str">
        <f t="shared" si="8"/>
        <v>Objetivo: alcanzar calificación C. Actual: Cal.F. SATE integral + cubierta + carpinterías triple + aerotermia + instalación fotovoltaica</v>
      </c>
      <c r="U157" s="59" t="str">
        <f t="shared" si="9"/>
        <v>Valorar ascensor (verificar)</v>
      </c>
      <c r="V157" s="67">
        <f>IF('📇 INVENTARIO'!L158="","",'📇 INVENTARIO'!L158)</f>
        <v>650.6</v>
      </c>
      <c r="W157" s="64">
        <f>IF($C157="","",V157*'⚙️ SUPUESTOS'!$C$8*'⚙️ SUPUESTOS'!$C$9)</f>
        <v>136.626</v>
      </c>
      <c r="X157" s="67">
        <f>IF('📇 INVENTARIO'!N158="","",'📇 INVENTARIO'!N158)</f>
        <v>1335</v>
      </c>
      <c r="Y157" s="67">
        <f>IF($C157="","",W157*X157*'⚙️ SUPUESTOS'!$C$7)</f>
        <v>164156.139</v>
      </c>
      <c r="Z157" s="65">
        <f>IF($C157="","",W157*'⚙️ SUPUESTOS'!$C$10)</f>
        <v>182395.71</v>
      </c>
      <c r="AA157" s="65">
        <f>IF($C157="","",Y157*('⚙️ SUPUESTOS'!$C$12*'⚙️ SUPUESTOS'!$C$11+(1-'⚙️ SUPUESTOS'!$C$12)*'⚙️ SUPUESTOS'!$C$13))</f>
        <v>11195.448679800002</v>
      </c>
      <c r="AB157" s="65">
        <f>IF($C157="","",IF(Y157&gt;0,ROUND(Y157*'⚙️ SUPUESTOS'!$C$12*'⚙️ SUPUESTOS'!$C$11,0),""))</f>
        <v>4104</v>
      </c>
      <c r="AC157" s="65">
        <f>IF($C157="","",IF(Y157&gt;0,ROUND(Y157*(1-'⚙️ SUPUESTOS'!$C$12)*'⚙️ SUPUESTOS'!$C$13,0),""))</f>
        <v>7092</v>
      </c>
      <c r="AD157" s="65">
        <f t="shared" si="10"/>
        <v>97491</v>
      </c>
      <c r="AE157" s="64">
        <f t="shared" si="11"/>
        <v>16.291951775822742</v>
      </c>
      <c r="AF157" s="59" t="str">
        <f>IF($C157="","",IF(AE157="","—",IF(AE157&lt;='⚙️ SUPUESTOS'!$C$32,"✔ Muy recomendable",IF(AE157&lt;='⚙️ SUPUESTOS'!$C$33,"✔ Recomendable","Valorar"))))</f>
        <v>Valorar</v>
      </c>
      <c r="AG157" s="68">
        <f>IF('📇 INVENTARIO'!O158="","",'📇 INVENTARIO'!O158)</f>
        <v>41.648989999999998</v>
      </c>
      <c r="AH157" s="68">
        <f>IF('📇 INVENTARIO'!P158="","",'📇 INVENTARIO'!P158)</f>
        <v>-4.7061700000000002</v>
      </c>
    </row>
    <row r="158" spans="1:34" ht="45" customHeight="1">
      <c r="A158" s="58">
        <f>IF($C158="","",RANK(O158,$O$3:$O$265,0)+COUNTIF($O$3:O158,O158)-1)</f>
        <v>156</v>
      </c>
      <c r="B158" s="59" t="str">
        <f>IF($C158="","",IF(A158&lt;='⚙️ SUPUESTOS'!$C$29,"Fase 1",IF(A158&lt;='⚙️ SUPUESTOS'!$C$30,"Fase 2","Fase 3")))</f>
        <v>Fase 3</v>
      </c>
      <c r="C158" s="60" t="str">
        <f>IF('📇 INVENTARIO'!B160="","",'📇 INVENTARIO'!B160)</f>
        <v>C/ Pingüino, 9</v>
      </c>
      <c r="D158" s="59" t="str">
        <f>IF('📇 INVENTARIO'!C160="","",'📇 INVENTARIO'!C160)</f>
        <v>8025209UM5182E</v>
      </c>
      <c r="E158" s="59" t="str">
        <f>IF('📇 INVENTARIO'!D160="","",'📇 INVENTARIO'!D160)</f>
        <v>4718606024</v>
      </c>
      <c r="F158" s="59" t="str">
        <f>IF('📇 INVENTARIO'!F160="","",'📇 INVENTARIO'!F160)</f>
        <v>E</v>
      </c>
      <c r="G158" s="61">
        <f>IF('📇 INVENTARIO'!G160="","",'📇 INVENTARIO'!G160)</f>
        <v>255</v>
      </c>
      <c r="H158" s="61">
        <f>IF('📇 INVENTARIO'!H160="","",'📇 INVENTARIO'!H160)</f>
        <v>56.5</v>
      </c>
      <c r="I158" s="61">
        <f>IF('📇 INVENTARIO'!I160="","",'📇 INVENTARIO'!I160)</f>
        <v>128.1</v>
      </c>
      <c r="J158" s="61">
        <f>IF('📇 INVENTARIO'!J160="","",'📇 INVENTARIO'!J160)</f>
        <v>1969</v>
      </c>
      <c r="K158" s="62">
        <f>IF($C158="","",(G158-'⚙️ SUPUESTOS'!$C$20)/('⚙️ SUPUESTOS'!$C$25-'⚙️ SUPUESTOS'!$C$20))</f>
        <v>0.19277108433734941</v>
      </c>
      <c r="L158" s="62">
        <f>IF($C158="","",VLOOKUP($E158,'📊 SECCIONES'!$B$4:$S$9,16,FALSE()))</f>
        <v>0.13391192517993736</v>
      </c>
      <c r="M158" s="62">
        <f>IF($C158="","",VLOOKUP($E158,'📊 SECCIONES'!$B$4:$S$9,17,FALSE()))</f>
        <v>0.16476683937823833</v>
      </c>
      <c r="N158" s="62">
        <f>IF($C158="","",VLOOKUP($E158,'📊 SECCIONES'!$B$4:$S$9,18,FALSE()))</f>
        <v>0.79545454545454541</v>
      </c>
      <c r="O158" s="63">
        <f>IF($C158="","",ROUND('⚙️ SUPUESTOS'!$C$21*K158+'⚙️ SUPUESTOS'!$C$22*L158+'⚙️ SUPUESTOS'!$C$23*M158+'⚙️ SUPUESTOS'!$C$24*N158,4))</f>
        <v>0.2301</v>
      </c>
      <c r="P158" s="64">
        <f>IF($C158="","",VLOOKUP($E158,'📊 SECCIONES'!$B$4:$S$9,7,FALSE()))</f>
        <v>30.06</v>
      </c>
      <c r="Q158" s="65">
        <f>IF($C158="","",VLOOKUP($E158,'📊 SECCIONES'!$B$4:$S$9,8,FALSE()))</f>
        <v>25132</v>
      </c>
      <c r="R158" s="64">
        <f>IF($C158="","",VLOOKUP($E158,'📊 SECCIONES'!$B$4:$S$9,10,FALSE()))</f>
        <v>28.1</v>
      </c>
      <c r="S158" s="61">
        <f>IF('📇 INVENTARIO'!K160="","",'📇 INVENTARIO'!K160)</f>
        <v>6</v>
      </c>
      <c r="T158" s="66" t="str">
        <f t="shared" si="8"/>
        <v>Objetivo: alcanzar calificación C. Actual: Cal.E. SATE fachada + carpinterías doble + instalación fotovoltaica</v>
      </c>
      <c r="U158" s="59" t="str">
        <f t="shared" si="9"/>
        <v>Valorar ascensor (verificar)</v>
      </c>
      <c r="V158" s="67">
        <f>IF('📇 INVENTARIO'!L160="","",'📇 INVENTARIO'!L160)</f>
        <v>573</v>
      </c>
      <c r="W158" s="64">
        <f>IF($C158="","",V158*'⚙️ SUPUESTOS'!$C$8*'⚙️ SUPUESTOS'!$C$9)</f>
        <v>120.33</v>
      </c>
      <c r="X158" s="67">
        <f>IF('📇 INVENTARIO'!N160="","",'📇 INVENTARIO'!N160)</f>
        <v>1356</v>
      </c>
      <c r="Y158" s="67">
        <f>IF($C158="","",W158*X158*'⚙️ SUPUESTOS'!$C$7)</f>
        <v>146850.73200000002</v>
      </c>
      <c r="Z158" s="65">
        <f>IF($C158="","",W158*'⚙️ SUPUESTOS'!$C$10)</f>
        <v>160640.54999999999</v>
      </c>
      <c r="AA158" s="65">
        <f>IF($C158="","",Y158*('⚙️ SUPUESTOS'!$C$12*'⚙️ SUPUESTOS'!$C$11+(1-'⚙️ SUPUESTOS'!$C$12)*'⚙️ SUPUESTOS'!$C$13))</f>
        <v>10015.219922400003</v>
      </c>
      <c r="AB158" s="65">
        <f>IF($C158="","",IF(Y158&gt;0,ROUND(Y158*'⚙️ SUPUESTOS'!$C$12*'⚙️ SUPUESTOS'!$C$11,0),""))</f>
        <v>3671</v>
      </c>
      <c r="AC158" s="65">
        <f>IF($C158="","",IF(Y158&gt;0,ROUND(Y158*(1-'⚙️ SUPUESTOS'!$C$12)*'⚙️ SUPUESTOS'!$C$13,0),""))</f>
        <v>6344</v>
      </c>
      <c r="AD158" s="76">
        <f t="shared" si="10"/>
        <v>89740</v>
      </c>
      <c r="AE158" s="75">
        <f t="shared" si="11"/>
        <v>16.039642788144068</v>
      </c>
      <c r="AF158" s="70" t="str">
        <f>IF($C158="","",IF(AE158="","—",IF(AE158&lt;='⚙️ SUPUESTOS'!$C$32,"✔ Muy recomendable",IF(AE158&lt;='⚙️ SUPUESTOS'!$C$33,"✔ Recomendable","Valorar"))))</f>
        <v>Valorar</v>
      </c>
      <c r="AG158" s="79">
        <f>IF('📇 INVENTARIO'!O159="","",'📇 INVENTARIO'!O159)</f>
        <v>41.647419999999997</v>
      </c>
      <c r="AH158" s="79">
        <f>IF('📇 INVENTARIO'!P159="","",'📇 INVENTARIO'!P159)</f>
        <v>-4.7096499999999999</v>
      </c>
    </row>
    <row r="159" spans="1:34" ht="45" customHeight="1">
      <c r="A159" s="69">
        <f>IF($C159="","",RANK(O159,$O$3:$O$265,0)+COUNTIF($O$3:O159,O159)-1)</f>
        <v>157</v>
      </c>
      <c r="B159" s="70" t="str">
        <f>IF($C159="","",IF(A159&lt;='⚙️ SUPUESTOS'!$C$29,"Fase 1",IF(A159&lt;='⚙️ SUPUESTOS'!$C$30,"Fase 2","Fase 3")))</f>
        <v>Fase 3</v>
      </c>
      <c r="C159" s="71" t="str">
        <f>IF('📇 INVENTARIO'!B163="","",'📇 INVENTARIO'!B163)</f>
        <v>C/ Cigüeña, 34</v>
      </c>
      <c r="D159" s="70" t="str">
        <f>IF('📇 INVENTARIO'!C163="","",'📇 INVENTARIO'!C163)</f>
        <v>7923014UM5172D</v>
      </c>
      <c r="E159" s="70" t="str">
        <f>IF('📇 INVENTARIO'!D163="","",'📇 INVENTARIO'!D163)</f>
        <v>4718606025</v>
      </c>
      <c r="F159" s="70" t="str">
        <f>IF('📇 INVENTARIO'!F163="","",'📇 INVENTARIO'!F163)</f>
        <v>F</v>
      </c>
      <c r="G159" s="72">
        <f>IF('📇 INVENTARIO'!G163="","",'📇 INVENTARIO'!G163)</f>
        <v>331</v>
      </c>
      <c r="H159" s="72">
        <f>IF('📇 INVENTARIO'!H163="","",'📇 INVENTARIO'!H163)</f>
        <v>65</v>
      </c>
      <c r="I159" s="72">
        <f>IF('📇 INVENTARIO'!I163="","",'📇 INVENTARIO'!I163)</f>
        <v>151.9</v>
      </c>
      <c r="J159" s="72">
        <f>IF('📇 INVENTARIO'!J163="","",'📇 INVENTARIO'!J163)</f>
        <v>1965</v>
      </c>
      <c r="K159" s="73">
        <f>IF($C159="","",(G159-'⚙️ SUPUESTOS'!$C$20)/('⚙️ SUPUESTOS'!$C$25-'⚙️ SUPUESTOS'!$C$20))</f>
        <v>0.32358003442340794</v>
      </c>
      <c r="L159" s="73">
        <f>IF($C159="","",VLOOKUP($E159,'📊 SECCIONES'!$B$4:$S$9,16,FALSE()))</f>
        <v>0</v>
      </c>
      <c r="M159" s="73">
        <f>IF($C159="","",VLOOKUP($E159,'📊 SECCIONES'!$B$4:$S$9,17,FALSE()))</f>
        <v>0</v>
      </c>
      <c r="N159" s="73">
        <f>IF($C159="","",VLOOKUP($E159,'📊 SECCIONES'!$B$4:$S$9,18,FALSE()))</f>
        <v>0.57727272727272727</v>
      </c>
      <c r="O159" s="74">
        <f>IF($C159="","",ROUND('⚙️ SUPUESTOS'!$C$21*K159+'⚙️ SUPUESTOS'!$C$22*L159+'⚙️ SUPUESTOS'!$C$23*M159+'⚙️ SUPUESTOS'!$C$24*N159,4))</f>
        <v>0.22989999999999999</v>
      </c>
      <c r="P159" s="75">
        <f>IF($C159="","",VLOOKUP($E159,'📊 SECCIONES'!$B$4:$S$9,7,FALSE()))</f>
        <v>20.3</v>
      </c>
      <c r="Q159" s="76">
        <f>IF($C159="","",VLOOKUP($E159,'📊 SECCIONES'!$B$4:$S$9,8,FALSE()))</f>
        <v>26404</v>
      </c>
      <c r="R159" s="75">
        <f>IF($C159="","",VLOOKUP($E159,'📊 SECCIONES'!$B$4:$S$9,10,FALSE()))</f>
        <v>23.3</v>
      </c>
      <c r="S159" s="72">
        <f>IF('📇 INVENTARIO'!K163="","",'📇 INVENTARIO'!K163)</f>
        <v>3</v>
      </c>
      <c r="T159" s="77" t="str">
        <f t="shared" si="8"/>
        <v>Objetivo: alcanzar calificación C. Actual: Cal.F. SATE integral + cubierta + carpinterías triple + aerotermia + instalación fotovoltaica</v>
      </c>
      <c r="U159" s="70" t="str">
        <f t="shared" si="9"/>
        <v>—</v>
      </c>
      <c r="V159" s="78">
        <f>IF('📇 INVENTARIO'!L163="","",'📇 INVENTARIO'!L163)</f>
        <v>111</v>
      </c>
      <c r="W159" s="75">
        <f>IF($C159="","",V159*'⚙️ SUPUESTOS'!$C$8*'⚙️ SUPUESTOS'!$C$9)</f>
        <v>23.31</v>
      </c>
      <c r="X159" s="78">
        <f>IF('📇 INVENTARIO'!N163="","",'📇 INVENTARIO'!N163)</f>
        <v>1441</v>
      </c>
      <c r="Y159" s="78">
        <f>IF($C159="","",W159*X159*'⚙️ SUPUESTOS'!$C$7)</f>
        <v>30230.739000000001</v>
      </c>
      <c r="Z159" s="76">
        <f>IF($C159="","",W159*'⚙️ SUPUESTOS'!$C$10)</f>
        <v>31118.85</v>
      </c>
      <c r="AA159" s="76">
        <f>IF($C159="","",Y159*('⚙️ SUPUESTOS'!$C$12*'⚙️ SUPUESTOS'!$C$11+(1-'⚙️ SUPUESTOS'!$C$12)*'⚙️ SUPUESTOS'!$C$13))</f>
        <v>2061.7363998000005</v>
      </c>
      <c r="AB159" s="76">
        <f>IF($C159="","",IF(Y159&gt;0,ROUND(Y159*'⚙️ SUPUESTOS'!$C$12*'⚙️ SUPUESTOS'!$C$11,0),""))</f>
        <v>756</v>
      </c>
      <c r="AC159" s="76">
        <f>IF($C159="","",IF(Y159&gt;0,ROUND(Y159*(1-'⚙️ SUPUESTOS'!$C$12)*'⚙️ SUPUESTOS'!$C$13,0),""))</f>
        <v>1306</v>
      </c>
      <c r="AD159" s="65">
        <f t="shared" si="10"/>
        <v>20425</v>
      </c>
      <c r="AE159" s="64">
        <f t="shared" si="11"/>
        <v>15.093515350953057</v>
      </c>
      <c r="AF159" s="59" t="str">
        <f>IF($C159="","",IF(AE159="","—",IF(AE159&lt;='⚙️ SUPUESTOS'!$C$32,"✔ Muy recomendable",IF(AE159&lt;='⚙️ SUPUESTOS'!$C$33,"✔ Recomendable","Valorar"))))</f>
        <v>✔ Recomendable</v>
      </c>
      <c r="AG159" s="68">
        <f>IF('📇 INVENTARIO'!O160="","",'📇 INVENTARIO'!O160)</f>
        <v>41.649759000000003</v>
      </c>
      <c r="AH159" s="68">
        <f>IF('📇 INVENTARIO'!P160="","",'📇 INVENTARIO'!P160)</f>
        <v>-4.7073099999999997</v>
      </c>
    </row>
    <row r="160" spans="1:34" ht="45" customHeight="1">
      <c r="A160" s="69">
        <f>IF($C160="","",RANK(O160,$O$3:$O$265,0)+COUNTIF($O$3:O160,O160)-1)</f>
        <v>158</v>
      </c>
      <c r="B160" s="70" t="str">
        <f>IF($C160="","",IF(A160&lt;='⚙️ SUPUESTOS'!$C$29,"Fase 1",IF(A160&lt;='⚙️ SUPUESTOS'!$C$30,"Fase 2","Fase 3")))</f>
        <v>Fase 3</v>
      </c>
      <c r="C160" s="71" t="str">
        <f>IF('📇 INVENTARIO'!B159="","",'📇 INVENTARIO'!B159)</f>
        <v>C/ Cigüeña, 31</v>
      </c>
      <c r="D160" s="70" t="str">
        <f>IF('📇 INVENTARIO'!C159="","",'📇 INVENTARIO'!C159)</f>
        <v>7723406UM5172D</v>
      </c>
      <c r="E160" s="70" t="str">
        <f>IF('📇 INVENTARIO'!D159="","",'📇 INVENTARIO'!D159)</f>
        <v>4718606028</v>
      </c>
      <c r="F160" s="70" t="str">
        <f>IF('📇 INVENTARIO'!F159="","",'📇 INVENTARIO'!F159)</f>
        <v>E</v>
      </c>
      <c r="G160" s="72">
        <f>IF('📇 INVENTARIO'!G159="","",'📇 INVENTARIO'!G159)</f>
        <v>210</v>
      </c>
      <c r="H160" s="72">
        <f>IF('📇 INVENTARIO'!H159="","",'📇 INVENTARIO'!H159)</f>
        <v>39</v>
      </c>
      <c r="I160" s="72">
        <f>IF('📇 INVENTARIO'!I159="","",'📇 INVENTARIO'!I159)</f>
        <v>89.4</v>
      </c>
      <c r="J160" s="72">
        <f>IF('📇 INVENTARIO'!J159="","",'📇 INVENTARIO'!J159)</f>
        <v>1967</v>
      </c>
      <c r="K160" s="73">
        <f>IF($C160="","",(G160-'⚙️ SUPUESTOS'!$C$20)/('⚙️ SUPUESTOS'!$C$25-'⚙️ SUPUESTOS'!$C$20))</f>
        <v>0.11531841652323579</v>
      </c>
      <c r="L160" s="73">
        <f>IF($C160="","",VLOOKUP($E160,'📊 SECCIONES'!$B$4:$S$9,16,FALSE()))</f>
        <v>0.24395028956990591</v>
      </c>
      <c r="M160" s="73">
        <f>IF($C160="","",VLOOKUP($E160,'📊 SECCIONES'!$B$4:$S$9,17,FALSE()))</f>
        <v>0.34507772020725386</v>
      </c>
      <c r="N160" s="73">
        <f>IF($C160="","",VLOOKUP($E160,'📊 SECCIONES'!$B$4:$S$9,18,FALSE()))</f>
        <v>0.70909090909090911</v>
      </c>
      <c r="O160" s="74">
        <f>IF($C160="","",ROUND('⚙️ SUPUESTOS'!$C$21*K160+'⚙️ SUPUESTOS'!$C$22*L160+'⚙️ SUPUESTOS'!$C$23*M160+'⚙️ SUPUESTOS'!$C$24*N160,4))</f>
        <v>0.22919999999999999</v>
      </c>
      <c r="P160" s="75">
        <f>IF($C160="","",VLOOKUP($E160,'📊 SECCIONES'!$B$4:$S$9,7,FALSE()))</f>
        <v>29.81</v>
      </c>
      <c r="Q160" s="76">
        <f>IF($C160="","",VLOOKUP($E160,'📊 SECCIONES'!$B$4:$S$9,8,FALSE()))</f>
        <v>23665</v>
      </c>
      <c r="R160" s="75">
        <f>IF($C160="","",VLOOKUP($E160,'📊 SECCIONES'!$B$4:$S$9,10,FALSE()))</f>
        <v>26.2</v>
      </c>
      <c r="S160" s="72">
        <f>IF('📇 INVENTARIO'!K159="","",'📇 INVENTARIO'!K159)</f>
        <v>6</v>
      </c>
      <c r="T160" s="77" t="str">
        <f t="shared" si="8"/>
        <v>Objetivo: alcanzar calificación C. Actual: Cal.E. SATE fachada + carpinterías doble + instalación fotovoltaica</v>
      </c>
      <c r="U160" s="70" t="str">
        <f t="shared" si="9"/>
        <v>Valorar ascensor (verificar)</v>
      </c>
      <c r="V160" s="78">
        <f>IF('📇 INVENTARIO'!L159="","",'📇 INVENTARIO'!L159)</f>
        <v>318.8</v>
      </c>
      <c r="W160" s="75">
        <f>IF($C160="","",V160*'⚙️ SUPUESTOS'!$C$8*'⚙️ SUPUESTOS'!$C$9)</f>
        <v>66.947999999999993</v>
      </c>
      <c r="X160" s="78">
        <f>IF('📇 INVENTARIO'!N159="","",'📇 INVENTARIO'!N159)</f>
        <v>1515</v>
      </c>
      <c r="Y160" s="78">
        <f>IF($C160="","",W160*X160*'⚙️ SUPUESTOS'!$C$7)</f>
        <v>91283.597999999984</v>
      </c>
      <c r="Z160" s="76">
        <f>IF($C160="","",W160*'⚙️ SUPUESTOS'!$C$10)</f>
        <v>89375.579999999987</v>
      </c>
      <c r="AA160" s="76">
        <f>IF($C160="","",Y160*('⚙️ SUPUESTOS'!$C$12*'⚙️ SUPUESTOS'!$C$11+(1-'⚙️ SUPUESTOS'!$C$12)*'⚙️ SUPUESTOS'!$C$13))</f>
        <v>6225.5413835999998</v>
      </c>
      <c r="AB160" s="76">
        <f>IF($C160="","",IF(Y160&gt;0,ROUND(Y160*'⚙️ SUPUESTOS'!$C$12*'⚙️ SUPUESTOS'!$C$11,0),""))</f>
        <v>2282</v>
      </c>
      <c r="AC160" s="76">
        <f>IF($C160="","",IF(Y160&gt;0,ROUND(Y160*(1-'⚙️ SUPUESTOS'!$C$12)*'⚙️ SUPUESTOS'!$C$13,0),""))</f>
        <v>3943</v>
      </c>
      <c r="AD160" s="76">
        <f t="shared" si="10"/>
        <v>66263</v>
      </c>
      <c r="AE160" s="75">
        <f t="shared" si="11"/>
        <v>14.356274337111129</v>
      </c>
      <c r="AF160" s="70" t="str">
        <f>IF($C160="","",IF(AE160="","—",IF(AE160&lt;='⚙️ SUPUESTOS'!$C$32,"✔ Muy recomendable",IF(AE160&lt;='⚙️ SUPUESTOS'!$C$33,"✔ Recomendable","Valorar"))))</f>
        <v>✔ Muy recomendable</v>
      </c>
      <c r="AG160" s="79">
        <f>IF('📇 INVENTARIO'!O161="","",'📇 INVENTARIO'!O161)</f>
        <v>41.648176999999997</v>
      </c>
      <c r="AH160" s="79">
        <f>IF('📇 INVENTARIO'!P161="","",'📇 INVENTARIO'!P161)</f>
        <v>-4.710032</v>
      </c>
    </row>
    <row r="161" spans="1:34" ht="45" customHeight="1">
      <c r="A161" s="69">
        <f>IF($C161="","",RANK(O161,$O$3:$O$265,0)+COUNTIF($O$3:O161,O161)-1)</f>
        <v>159</v>
      </c>
      <c r="B161" s="70" t="str">
        <f>IF($C161="","",IF(A161&lt;='⚙️ SUPUESTOS'!$C$29,"Fase 1",IF(A161&lt;='⚙️ SUPUESTOS'!$C$30,"Fase 2","Fase 3")))</f>
        <v>Fase 3</v>
      </c>
      <c r="C161" s="71" t="str">
        <f>IF('📇 INVENTARIO'!B161="","",'📇 INVENTARIO'!B161)</f>
        <v>C/ Perdiz, 2</v>
      </c>
      <c r="D161" s="70" t="str">
        <f>IF('📇 INVENTARIO'!C161="","",'📇 INVENTARIO'!C161)</f>
        <v>7723701UM5172D</v>
      </c>
      <c r="E161" s="70" t="str">
        <f>IF('📇 INVENTARIO'!D161="","",'📇 INVENTARIO'!D161)</f>
        <v>4718606027</v>
      </c>
      <c r="F161" s="70" t="str">
        <f>IF('📇 INVENTARIO'!F161="","",'📇 INVENTARIO'!F161)</f>
        <v>E</v>
      </c>
      <c r="G161" s="72">
        <f>IF('📇 INVENTARIO'!G161="","",'📇 INVENTARIO'!G161)</f>
        <v>203</v>
      </c>
      <c r="H161" s="72">
        <f>IF('📇 INVENTARIO'!H161="","",'📇 INVENTARIO'!H161)</f>
        <v>43</v>
      </c>
      <c r="I161" s="72">
        <f>IF('📇 INVENTARIO'!I161="","",'📇 INVENTARIO'!I161)</f>
        <v>98.8</v>
      </c>
      <c r="J161" s="72">
        <f>IF('📇 INVENTARIO'!J161="","",'📇 INVENTARIO'!J161)</f>
        <v>1963</v>
      </c>
      <c r="K161" s="73">
        <f>IF($C161="","",(G161-'⚙️ SUPUESTOS'!$C$20)/('⚙️ SUPUESTOS'!$C$25-'⚙️ SUPUESTOS'!$C$20))</f>
        <v>0.10327022375215146</v>
      </c>
      <c r="L161" s="73">
        <f>IF($C161="","",VLOOKUP($E161,'📊 SECCIONES'!$B$4:$S$9,16,FALSE()))</f>
        <v>0.19481959841367916</v>
      </c>
      <c r="M161" s="73">
        <f>IF($C161="","",VLOOKUP($E161,'📊 SECCIONES'!$B$4:$S$9,17,FALSE()))</f>
        <v>0.2663212435233161</v>
      </c>
      <c r="N161" s="73">
        <f>IF($C161="","",VLOOKUP($E161,'📊 SECCIONES'!$B$4:$S$9,18,FALSE()))</f>
        <v>1</v>
      </c>
      <c r="O161" s="74">
        <f>IF($C161="","",ROUND('⚙️ SUPUESTOS'!$C$21*K161+'⚙️ SUPUESTOS'!$C$22*L161+'⚙️ SUPUESTOS'!$C$23*M161+'⚙️ SUPUESTOS'!$C$24*N161,4))</f>
        <v>0.22689999999999999</v>
      </c>
      <c r="P161" s="75">
        <f>IF($C161="","",VLOOKUP($E161,'📊 SECCIONES'!$B$4:$S$9,7,FALSE()))</f>
        <v>24.5</v>
      </c>
      <c r="Q161" s="76">
        <f>IF($C161="","",VLOOKUP($E161,'📊 SECCIONES'!$B$4:$S$9,8,FALSE()))</f>
        <v>25206</v>
      </c>
      <c r="R161" s="75">
        <f>IF($C161="","",VLOOKUP($E161,'📊 SECCIONES'!$B$4:$S$9,10,FALSE()))</f>
        <v>32.6</v>
      </c>
      <c r="S161" s="72">
        <f>IF('📇 INVENTARIO'!K161="","",'📇 INVENTARIO'!K161)</f>
        <v>5</v>
      </c>
      <c r="T161" s="77" t="str">
        <f t="shared" si="8"/>
        <v>Objetivo: alcanzar calificación C. Actual: Cal.E. SATE fachada + carpinterías doble + instalación fotovoltaica</v>
      </c>
      <c r="U161" s="70" t="str">
        <f t="shared" si="9"/>
        <v>Valorar ascensor (verificar)</v>
      </c>
      <c r="V161" s="78">
        <f>IF('📇 INVENTARIO'!L161="","",'📇 INVENTARIO'!L161)</f>
        <v>157</v>
      </c>
      <c r="W161" s="75">
        <f>IF($C161="","",V161*'⚙️ SUPUESTOS'!$C$8*'⚙️ SUPUESTOS'!$C$9)</f>
        <v>32.97</v>
      </c>
      <c r="X161" s="78">
        <f>IF('📇 INVENTARIO'!N161="","",'📇 INVENTARIO'!N161)</f>
        <v>1464</v>
      </c>
      <c r="Y161" s="78">
        <f>IF($C161="","",W161*X161*'⚙️ SUPUESTOS'!$C$7)</f>
        <v>43441.272000000004</v>
      </c>
      <c r="Z161" s="76">
        <f>IF($C161="","",W161*'⚙️ SUPUESTOS'!$C$10)</f>
        <v>44014.95</v>
      </c>
      <c r="AA161" s="76">
        <f>IF($C161="","",Y161*('⚙️ SUPUESTOS'!$C$12*'⚙️ SUPUESTOS'!$C$11+(1-'⚙️ SUPUESTOS'!$C$12)*'⚙️ SUPUESTOS'!$C$13))</f>
        <v>2962.6947504000009</v>
      </c>
      <c r="AB161" s="76">
        <f>IF($C161="","",IF(Y161&gt;0,ROUND(Y161*'⚙️ SUPUESTOS'!$C$12*'⚙️ SUPUESTOS'!$C$11,0),""))</f>
        <v>1086</v>
      </c>
      <c r="AC161" s="76">
        <f>IF($C161="","",IF(Y161&gt;0,ROUND(Y161*(1-'⚙️ SUPUESTOS'!$C$12)*'⚙️ SUPUESTOS'!$C$13,0),""))</f>
        <v>1877</v>
      </c>
      <c r="AD161" s="65">
        <f t="shared" si="10"/>
        <v>30052</v>
      </c>
      <c r="AE161" s="64">
        <f t="shared" si="11"/>
        <v>14.856390451313766</v>
      </c>
      <c r="AF161" s="59" t="str">
        <f>IF($C161="","",IF(AE161="","—",IF(AE161&lt;='⚙️ SUPUESTOS'!$C$32,"✔ Muy recomendable",IF(AE161&lt;='⚙️ SUPUESTOS'!$C$33,"✔ Recomendable","Valorar"))))</f>
        <v>✔ Muy recomendable</v>
      </c>
      <c r="AG161" s="68">
        <f>IF('📇 INVENTARIO'!O162="","",'📇 INVENTARIO'!O162)</f>
        <v>41.648130000000002</v>
      </c>
      <c r="AH161" s="68">
        <f>IF('📇 INVENTARIO'!P162="","",'📇 INVENTARIO'!P162)</f>
        <v>-4.7115400000000003</v>
      </c>
    </row>
    <row r="162" spans="1:34" ht="45" customHeight="1">
      <c r="A162" s="58">
        <f>IF($C162="","",RANK(O162,$O$3:$O$265,0)+COUNTIF($O$3:O162,O162)-1)</f>
        <v>160</v>
      </c>
      <c r="B162" s="59" t="str">
        <f>IF($C162="","",IF(A162&lt;='⚙️ SUPUESTOS'!$C$29,"Fase 1",IF(A162&lt;='⚙️ SUPUESTOS'!$C$30,"Fase 2","Fase 3")))</f>
        <v>Fase 3</v>
      </c>
      <c r="C162" s="60" t="str">
        <f>IF('📇 INVENTARIO'!B162="","",'📇 INVENTARIO'!B162)</f>
        <v>C/ Pavo Real, 5</v>
      </c>
      <c r="D162" s="59" t="str">
        <f>IF('📇 INVENTARIO'!C162="","",'📇 INVENTARIO'!C162)</f>
        <v>7623801UM5172D</v>
      </c>
      <c r="E162" s="59" t="str">
        <f>IF('📇 INVENTARIO'!D162="","",'📇 INVENTARIO'!D162)</f>
        <v>4718606027</v>
      </c>
      <c r="F162" s="59" t="str">
        <f>IF('📇 INVENTARIO'!F162="","",'📇 INVENTARIO'!F162)</f>
        <v>E</v>
      </c>
      <c r="G162" s="61">
        <f>IF('📇 INVENTARIO'!G162="","",'📇 INVENTARIO'!G162)</f>
        <v>201</v>
      </c>
      <c r="H162" s="61">
        <f>IF('📇 INVENTARIO'!H162="","",'📇 INVENTARIO'!H162)</f>
        <v>41</v>
      </c>
      <c r="I162" s="61">
        <f>IF('📇 INVENTARIO'!I162="","",'📇 INVENTARIO'!I162)</f>
        <v>98.2</v>
      </c>
      <c r="J162" s="61">
        <f>IF('📇 INVENTARIO'!J162="","",'📇 INVENTARIO'!J162)</f>
        <v>1969</v>
      </c>
      <c r="K162" s="62">
        <f>IF($C162="","",(G162-'⚙️ SUPUESTOS'!$C$20)/('⚙️ SUPUESTOS'!$C$25-'⚙️ SUPUESTOS'!$C$20))</f>
        <v>9.9827882960413075E-2</v>
      </c>
      <c r="L162" s="62">
        <f>IF($C162="","",VLOOKUP($E162,'📊 SECCIONES'!$B$4:$S$9,16,FALSE()))</f>
        <v>0.19481959841367916</v>
      </c>
      <c r="M162" s="62">
        <f>IF($C162="","",VLOOKUP($E162,'📊 SECCIONES'!$B$4:$S$9,17,FALSE()))</f>
        <v>0.2663212435233161</v>
      </c>
      <c r="N162" s="62">
        <f>IF($C162="","",VLOOKUP($E162,'📊 SECCIONES'!$B$4:$S$9,18,FALSE()))</f>
        <v>1</v>
      </c>
      <c r="O162" s="63">
        <f>IF($C162="","",ROUND('⚙️ SUPUESTOS'!$C$21*K162+'⚙️ SUPUESTOS'!$C$22*L162+'⚙️ SUPUESTOS'!$C$23*M162+'⚙️ SUPUESTOS'!$C$24*N162,4))</f>
        <v>0.22509999999999999</v>
      </c>
      <c r="P162" s="64">
        <f>IF($C162="","",VLOOKUP($E162,'📊 SECCIONES'!$B$4:$S$9,7,FALSE()))</f>
        <v>24.5</v>
      </c>
      <c r="Q162" s="65">
        <f>IF($C162="","",VLOOKUP($E162,'📊 SECCIONES'!$B$4:$S$9,8,FALSE()))</f>
        <v>25206</v>
      </c>
      <c r="R162" s="64">
        <f>IF($C162="","",VLOOKUP($E162,'📊 SECCIONES'!$B$4:$S$9,10,FALSE()))</f>
        <v>32.6</v>
      </c>
      <c r="S162" s="61">
        <f>IF('📇 INVENTARIO'!K162="","",'📇 INVENTARIO'!K162)</f>
        <v>6</v>
      </c>
      <c r="T162" s="66" t="str">
        <f t="shared" si="8"/>
        <v>Objetivo: alcanzar calificación C. Actual: Cal.E. SATE fachada + carpinterías doble + instalación fotovoltaica</v>
      </c>
      <c r="U162" s="59" t="str">
        <f t="shared" si="9"/>
        <v>Valorar ascensor (verificar)</v>
      </c>
      <c r="V162" s="67">
        <f>IF('📇 INVENTARIO'!L162="","",'📇 INVENTARIO'!L162)</f>
        <v>312.8</v>
      </c>
      <c r="W162" s="64">
        <f>IF($C162="","",V162*'⚙️ SUPUESTOS'!$C$8*'⚙️ SUPUESTOS'!$C$9)</f>
        <v>65.688000000000002</v>
      </c>
      <c r="X162" s="67">
        <f>IF('📇 INVENTARIO'!N162="","",'📇 INVENTARIO'!N162)</f>
        <v>1458</v>
      </c>
      <c r="Y162" s="67">
        <f>IF($C162="","",W162*X162*'⚙️ SUPUESTOS'!$C$7)</f>
        <v>86195.793600000005</v>
      </c>
      <c r="Z162" s="65">
        <f>IF($C162="","",W162*'⚙️ SUPUESTOS'!$C$10)</f>
        <v>87693.48</v>
      </c>
      <c r="AA162" s="65">
        <f>IF($C162="","",Y162*('⚙️ SUPUESTOS'!$C$12*'⚙️ SUPUESTOS'!$C$11+(1-'⚙️ SUPUESTOS'!$C$12)*'⚙️ SUPUESTOS'!$C$13))</f>
        <v>5878.5531235200015</v>
      </c>
      <c r="AB162" s="65">
        <f>IF($C162="","",IF(Y162&gt;0,ROUND(Y162*'⚙️ SUPUESTOS'!$C$12*'⚙️ SUPUESTOS'!$C$11,0),""))</f>
        <v>2155</v>
      </c>
      <c r="AC162" s="65">
        <f>IF($C162="","",IF(Y162&gt;0,ROUND(Y162*(1-'⚙️ SUPUESTOS'!$C$12)*'⚙️ SUPUESTOS'!$C$13,0),""))</f>
        <v>3724</v>
      </c>
      <c r="AD162" s="76">
        <f t="shared" si="10"/>
        <v>59270</v>
      </c>
      <c r="AE162" s="75">
        <f t="shared" si="11"/>
        <v>14.917527860578433</v>
      </c>
      <c r="AF162" s="70" t="str">
        <f>IF($C162="","",IF(AE162="","—",IF(AE162&lt;='⚙️ SUPUESTOS'!$C$32,"✔ Muy recomendable",IF(AE162&lt;='⚙️ SUPUESTOS'!$C$33,"✔ Recomendable","Valorar"))))</f>
        <v>✔ Muy recomendable</v>
      </c>
      <c r="AG162" s="79">
        <f>IF('📇 INVENTARIO'!O163="","",'📇 INVENTARIO'!O163)</f>
        <v>41.648530000000001</v>
      </c>
      <c r="AH162" s="79">
        <f>IF('📇 INVENTARIO'!P163="","",'📇 INVENTARIO'!P163)</f>
        <v>-4.7084299999999999</v>
      </c>
    </row>
    <row r="163" spans="1:34" ht="45" customHeight="1">
      <c r="A163" s="58">
        <f>IF($C163="","",RANK(O163,$O$3:$O$265,0)+COUNTIF($O$3:O163,O163)-1)</f>
        <v>161</v>
      </c>
      <c r="B163" s="59" t="str">
        <f>IF($C163="","",IF(A163&lt;='⚙️ SUPUESTOS'!$C$29,"Fase 1",IF(A163&lt;='⚙️ SUPUESTOS'!$C$30,"Fase 2","Fase 3")))</f>
        <v>Fase 3</v>
      </c>
      <c r="C163" s="60" t="str">
        <f>IF('📇 INVENTARIO'!B164="","",'📇 INVENTARIO'!B164)</f>
        <v>C/ Gallo, 15</v>
      </c>
      <c r="D163" s="59" t="str">
        <f>IF('📇 INVENTARIO'!C164="","",'📇 INVENTARIO'!C164)</f>
        <v>7822105UM5172B</v>
      </c>
      <c r="E163" s="59" t="str">
        <f>IF('📇 INVENTARIO'!D164="","",'📇 INVENTARIO'!D164)</f>
        <v>4718606028</v>
      </c>
      <c r="F163" s="59" t="str">
        <f>IF('📇 INVENTARIO'!F164="","",'📇 INVENTARIO'!F164)</f>
        <v>E</v>
      </c>
      <c r="G163" s="61">
        <f>IF('📇 INVENTARIO'!G164="","",'📇 INVENTARIO'!G164)</f>
        <v>204</v>
      </c>
      <c r="H163" s="61">
        <f>IF('📇 INVENTARIO'!H164="","",'📇 INVENTARIO'!H164)</f>
        <v>43.5</v>
      </c>
      <c r="I163" s="61">
        <f>IF('📇 INVENTARIO'!I164="","",'📇 INVENTARIO'!I164)</f>
        <v>88.6</v>
      </c>
      <c r="J163" s="61">
        <f>IF('📇 INVENTARIO'!J164="","",'📇 INVENTARIO'!J164)</f>
        <v>1970</v>
      </c>
      <c r="K163" s="62">
        <f>IF($C163="","",(G163-'⚙️ SUPUESTOS'!$C$20)/('⚙️ SUPUESTOS'!$C$25-'⚙️ SUPUESTOS'!$C$20))</f>
        <v>0.10499139414802065</v>
      </c>
      <c r="L163" s="62">
        <f>IF($C163="","",VLOOKUP($E163,'📊 SECCIONES'!$B$4:$S$9,16,FALSE()))</f>
        <v>0.24395028956990591</v>
      </c>
      <c r="M163" s="62">
        <f>IF($C163="","",VLOOKUP($E163,'📊 SECCIONES'!$B$4:$S$9,17,FALSE()))</f>
        <v>0.34507772020725386</v>
      </c>
      <c r="N163" s="62">
        <f>IF($C163="","",VLOOKUP($E163,'📊 SECCIONES'!$B$4:$S$9,18,FALSE()))</f>
        <v>0.70909090909090911</v>
      </c>
      <c r="O163" s="63">
        <f>IF($C163="","",ROUND('⚙️ SUPUESTOS'!$C$21*K163+'⚙️ SUPUESTOS'!$C$22*L163+'⚙️ SUPUESTOS'!$C$23*M163+'⚙️ SUPUESTOS'!$C$24*N163,4))</f>
        <v>0.2235</v>
      </c>
      <c r="P163" s="64">
        <f>IF($C163="","",VLOOKUP($E163,'📊 SECCIONES'!$B$4:$S$9,7,FALSE()))</f>
        <v>29.81</v>
      </c>
      <c r="Q163" s="65">
        <f>IF($C163="","",VLOOKUP($E163,'📊 SECCIONES'!$B$4:$S$9,8,FALSE()))</f>
        <v>23665</v>
      </c>
      <c r="R163" s="64">
        <f>IF($C163="","",VLOOKUP($E163,'📊 SECCIONES'!$B$4:$S$9,10,FALSE()))</f>
        <v>26.2</v>
      </c>
      <c r="S163" s="61">
        <f>IF('📇 INVENTARIO'!K164="","",'📇 INVENTARIO'!K164)</f>
        <v>6</v>
      </c>
      <c r="T163" s="66" t="str">
        <f t="shared" si="8"/>
        <v>Objetivo: alcanzar calificación C. Actual: Cal.E. SATE fachada + carpinterías doble + instalación fotovoltaica</v>
      </c>
      <c r="U163" s="59" t="str">
        <f t="shared" si="9"/>
        <v>Valorar ascensor (verificar)</v>
      </c>
      <c r="V163" s="67">
        <f>IF('📇 INVENTARIO'!L164="","",'📇 INVENTARIO'!L164)</f>
        <v>307.2</v>
      </c>
      <c r="W163" s="64">
        <f>IF($C163="","",V163*'⚙️ SUPUESTOS'!$C$8*'⚙️ SUPUESTOS'!$C$9)</f>
        <v>64.512</v>
      </c>
      <c r="X163" s="67">
        <f>IF('📇 INVENTARIO'!N164="","",'📇 INVENTARIO'!N164)</f>
        <v>1406</v>
      </c>
      <c r="Y163" s="67">
        <f>IF($C163="","",W163*X163*'⚙️ SUPUESTOS'!$C$7)</f>
        <v>81633.484800000006</v>
      </c>
      <c r="Z163" s="65">
        <f>IF($C163="","",W163*'⚙️ SUPUESTOS'!$C$10)</f>
        <v>86123.520000000004</v>
      </c>
      <c r="AA163" s="65">
        <f>IF($C163="","",Y163*('⚙️ SUPUESTOS'!$C$12*'⚙️ SUPUESTOS'!$C$11+(1-'⚙️ SUPUESTOS'!$C$12)*'⚙️ SUPUESTOS'!$C$13))</f>
        <v>5567.4036633600017</v>
      </c>
      <c r="AB163" s="65">
        <f>IF($C163="","",IF(Y163&gt;0,ROUND(Y163*'⚙️ SUPUESTOS'!$C$12*'⚙️ SUPUESTOS'!$C$11,0),""))</f>
        <v>2041</v>
      </c>
      <c r="AC163" s="65">
        <f>IF($C163="","",IF(Y163&gt;0,ROUND(Y163*(1-'⚙️ SUPUESTOS'!$C$12)*'⚙️ SUPUESTOS'!$C$13,0),""))</f>
        <v>3527</v>
      </c>
      <c r="AD163" s="65">
        <f t="shared" si="10"/>
        <v>53062</v>
      </c>
      <c r="AE163" s="64">
        <f t="shared" si="11"/>
        <v>15.469242973487452</v>
      </c>
      <c r="AF163" s="59" t="str">
        <f>IF($C163="","",IF(AE163="","—",IF(AE163&lt;='⚙️ SUPUESTOS'!$C$32,"✔ Muy recomendable",IF(AE163&lt;='⚙️ SUPUESTOS'!$C$33,"✔ Recomendable","Valorar"))))</f>
        <v>✔ Recomendable</v>
      </c>
      <c r="AG163" s="68">
        <f>IF('📇 INVENTARIO'!O164="","",'📇 INVENTARIO'!O164)</f>
        <v>41.646859999999997</v>
      </c>
      <c r="AH163" s="68">
        <f>IF('📇 INVENTARIO'!P164="","",'📇 INVENTARIO'!P164)</f>
        <v>-4.7084400000000004</v>
      </c>
    </row>
    <row r="164" spans="1:34" ht="45" customHeight="1">
      <c r="A164" s="69">
        <f>IF($C164="","",RANK(O164,$O$3:$O$265,0)+COUNTIF($O$3:O164,O164)-1)</f>
        <v>162</v>
      </c>
      <c r="B164" s="70" t="str">
        <f>IF($C164="","",IF(A164&lt;='⚙️ SUPUESTOS'!$C$29,"Fase 1",IF(A164&lt;='⚙️ SUPUESTOS'!$C$30,"Fase 2","Fase 3")))</f>
        <v>Fase 3</v>
      </c>
      <c r="C164" s="71" t="str">
        <f>IF('📇 INVENTARIO'!B169="","",'📇 INVENTARIO'!B169)</f>
        <v>C/ Cigüeña, 36</v>
      </c>
      <c r="D164" s="70" t="str">
        <f>IF('📇 INVENTARIO'!C169="","",'📇 INVENTARIO'!C169)</f>
        <v>7923015UM5172D</v>
      </c>
      <c r="E164" s="70" t="str">
        <f>IF('📇 INVENTARIO'!D169="","",'📇 INVENTARIO'!D169)</f>
        <v>4718606025</v>
      </c>
      <c r="F164" s="70" t="str">
        <f>IF('📇 INVENTARIO'!F169="","",'📇 INVENTARIO'!F169)</f>
        <v>F</v>
      </c>
      <c r="G164" s="72">
        <f>IF('📇 INVENTARIO'!G169="","",'📇 INVENTARIO'!G169)</f>
        <v>323</v>
      </c>
      <c r="H164" s="72">
        <f>IF('📇 INVENTARIO'!H169="","",'📇 INVENTARIO'!H169)</f>
        <v>68</v>
      </c>
      <c r="I164" s="72">
        <f>IF('📇 INVENTARIO'!I169="","",'📇 INVENTARIO'!I169)</f>
        <v>158.80000000000001</v>
      </c>
      <c r="J164" s="72">
        <f>IF('📇 INVENTARIO'!J169="","",'📇 INVENTARIO'!J169)</f>
        <v>1965</v>
      </c>
      <c r="K164" s="73">
        <f>IF($C164="","",(G164-'⚙️ SUPUESTOS'!$C$20)/('⚙️ SUPUESTOS'!$C$25-'⚙️ SUPUESTOS'!$C$20))</f>
        <v>0.3098106712564544</v>
      </c>
      <c r="L164" s="73">
        <f>IF($C164="","",VLOOKUP($E164,'📊 SECCIONES'!$B$4:$S$9,16,FALSE()))</f>
        <v>0</v>
      </c>
      <c r="M164" s="73">
        <f>IF($C164="","",VLOOKUP($E164,'📊 SECCIONES'!$B$4:$S$9,17,FALSE()))</f>
        <v>0</v>
      </c>
      <c r="N164" s="73">
        <f>IF($C164="","",VLOOKUP($E164,'📊 SECCIONES'!$B$4:$S$9,18,FALSE()))</f>
        <v>0.57727272727272727</v>
      </c>
      <c r="O164" s="74">
        <f>IF($C164="","",ROUND('⚙️ SUPUESTOS'!$C$21*K164+'⚙️ SUPUESTOS'!$C$22*L164+'⚙️ SUPUESTOS'!$C$23*M164+'⚙️ SUPUESTOS'!$C$24*N164,4))</f>
        <v>0.22239999999999999</v>
      </c>
      <c r="P164" s="75">
        <f>IF($C164="","",VLOOKUP($E164,'📊 SECCIONES'!$B$4:$S$9,7,FALSE()))</f>
        <v>20.3</v>
      </c>
      <c r="Q164" s="76">
        <f>IF($C164="","",VLOOKUP($E164,'📊 SECCIONES'!$B$4:$S$9,8,FALSE()))</f>
        <v>26404</v>
      </c>
      <c r="R164" s="75">
        <f>IF($C164="","",VLOOKUP($E164,'📊 SECCIONES'!$B$4:$S$9,10,FALSE()))</f>
        <v>23.3</v>
      </c>
      <c r="S164" s="72">
        <f>IF('📇 INVENTARIO'!K169="","",'📇 INVENTARIO'!K169)</f>
        <v>3</v>
      </c>
      <c r="T164" s="77" t="str">
        <f t="shared" si="8"/>
        <v>Objetivo: alcanzar calificación C. Actual: Cal.F. SATE integral + cubierta + carpinterías triple + aerotermia + instalación fotovoltaica</v>
      </c>
      <c r="U164" s="70" t="str">
        <f t="shared" si="9"/>
        <v>—</v>
      </c>
      <c r="V164" s="78">
        <f>IF('📇 INVENTARIO'!L169="","",'📇 INVENTARIO'!L169)</f>
        <v>112</v>
      </c>
      <c r="W164" s="75">
        <f>IF($C164="","",V164*'⚙️ SUPUESTOS'!$C$8*'⚙️ SUPUESTOS'!$C$9)</f>
        <v>23.52</v>
      </c>
      <c r="X164" s="78">
        <f>IF('📇 INVENTARIO'!N169="","",'📇 INVENTARIO'!N169)</f>
        <v>1346</v>
      </c>
      <c r="Y164" s="78">
        <f>IF($C164="","",W164*X164*'⚙️ SUPUESTOS'!$C$7)</f>
        <v>28492.128000000001</v>
      </c>
      <c r="Z164" s="76">
        <f>IF($C164="","",W164*'⚙️ SUPUESTOS'!$C$10)</f>
        <v>31399.200000000001</v>
      </c>
      <c r="AA164" s="76">
        <f>IF($C164="","",Y164*('⚙️ SUPUESTOS'!$C$12*'⚙️ SUPUESTOS'!$C$11+(1-'⚙️ SUPUESTOS'!$C$12)*'⚙️ SUPUESTOS'!$C$13))</f>
        <v>1943.1631296000003</v>
      </c>
      <c r="AB164" s="76">
        <f>IF($C164="","",IF(Y164&gt;0,ROUND(Y164*'⚙️ SUPUESTOS'!$C$12*'⚙️ SUPUESTOS'!$C$11,0),""))</f>
        <v>712</v>
      </c>
      <c r="AC164" s="76">
        <f>IF($C164="","",IF(Y164&gt;0,ROUND(Y164*(1-'⚙️ SUPUESTOS'!$C$12)*'⚙️ SUPUESTOS'!$C$13,0),""))</f>
        <v>1231</v>
      </c>
      <c r="AD164" s="76">
        <f t="shared" si="10"/>
        <v>17180</v>
      </c>
      <c r="AE164" s="75">
        <f t="shared" si="11"/>
        <v>16.158808039170403</v>
      </c>
      <c r="AF164" s="70" t="str">
        <f>IF($C164="","",IF(AE164="","—",IF(AE164&lt;='⚙️ SUPUESTOS'!$C$32,"✔ Muy recomendable",IF(AE164&lt;='⚙️ SUPUESTOS'!$C$33,"✔ Recomendable","Valorar"))))</f>
        <v>Valorar</v>
      </c>
      <c r="AG164" s="79">
        <f>IF('📇 INVENTARIO'!O165="","",'📇 INVENTARIO'!O165)</f>
        <v>41.648235999999997</v>
      </c>
      <c r="AH164" s="79">
        <f>IF('📇 INVENTARIO'!P165="","",'📇 INVENTARIO'!P165)</f>
        <v>-4.7105519999999999</v>
      </c>
    </row>
    <row r="165" spans="1:34" ht="45" customHeight="1">
      <c r="A165" s="69">
        <f>IF($C165="","",RANK(O165,$O$3:$O$265,0)+COUNTIF($O$3:O165,O165)-1)</f>
        <v>163</v>
      </c>
      <c r="B165" s="70" t="str">
        <f>IF($C165="","",IF(A165&lt;='⚙️ SUPUESTOS'!$C$29,"Fase 1",IF(A165&lt;='⚙️ SUPUESTOS'!$C$30,"Fase 2","Fase 3")))</f>
        <v>Fase 3</v>
      </c>
      <c r="C165" s="71" t="str">
        <f>IF('📇 INVENTARIO'!B165="","",'📇 INVENTARIO'!B165)</f>
        <v>C/ Zorzal, 6</v>
      </c>
      <c r="D165" s="70" t="str">
        <f>IF('📇 INVENTARIO'!C165="","",'📇 INVENTARIO'!C165)</f>
        <v>7723705UM5172D</v>
      </c>
      <c r="E165" s="70" t="str">
        <f>IF('📇 INVENTARIO'!D165="","",'📇 INVENTARIO'!D165)</f>
        <v>4718606027</v>
      </c>
      <c r="F165" s="70" t="str">
        <f>IF('📇 INVENTARIO'!F165="","",'📇 INVENTARIO'!F165)</f>
        <v>E</v>
      </c>
      <c r="G165" s="72">
        <f>IF('📇 INVENTARIO'!G165="","",'📇 INVENTARIO'!G165)</f>
        <v>197</v>
      </c>
      <c r="H165" s="72">
        <f>IF('📇 INVENTARIO'!H165="","",'📇 INVENTARIO'!H165)</f>
        <v>42</v>
      </c>
      <c r="I165" s="72">
        <f>IF('📇 INVENTARIO'!I165="","",'📇 INVENTARIO'!I165)</f>
        <v>100</v>
      </c>
      <c r="J165" s="72">
        <f>IF('📇 INVENTARIO'!J165="","",'📇 INVENTARIO'!J165)</f>
        <v>1983</v>
      </c>
      <c r="K165" s="73">
        <f>IF($C165="","",(G165-'⚙️ SUPUESTOS'!$C$20)/('⚙️ SUPUESTOS'!$C$25-'⚙️ SUPUESTOS'!$C$20))</f>
        <v>9.2943201376936319E-2</v>
      </c>
      <c r="L165" s="73">
        <f>IF($C165="","",VLOOKUP($E165,'📊 SECCIONES'!$B$4:$S$9,16,FALSE()))</f>
        <v>0.19481959841367916</v>
      </c>
      <c r="M165" s="73">
        <f>IF($C165="","",VLOOKUP($E165,'📊 SECCIONES'!$B$4:$S$9,17,FALSE()))</f>
        <v>0.2663212435233161</v>
      </c>
      <c r="N165" s="73">
        <f>IF($C165="","",VLOOKUP($E165,'📊 SECCIONES'!$B$4:$S$9,18,FALSE()))</f>
        <v>1</v>
      </c>
      <c r="O165" s="74">
        <f>IF($C165="","",ROUND('⚙️ SUPUESTOS'!$C$21*K165+'⚙️ SUPUESTOS'!$C$22*L165+'⚙️ SUPUESTOS'!$C$23*M165+'⚙️ SUPUESTOS'!$C$24*N165,4))</f>
        <v>0.2213</v>
      </c>
      <c r="P165" s="75">
        <f>IF($C165="","",VLOOKUP($E165,'📊 SECCIONES'!$B$4:$S$9,7,FALSE()))</f>
        <v>24.5</v>
      </c>
      <c r="Q165" s="76">
        <f>IF($C165="","",VLOOKUP($E165,'📊 SECCIONES'!$B$4:$S$9,8,FALSE()))</f>
        <v>25206</v>
      </c>
      <c r="R165" s="75">
        <f>IF($C165="","",VLOOKUP($E165,'📊 SECCIONES'!$B$4:$S$9,10,FALSE()))</f>
        <v>32.6</v>
      </c>
      <c r="S165" s="72">
        <f>IF('📇 INVENTARIO'!K165="","",'📇 INVENTARIO'!K165)</f>
        <v>6</v>
      </c>
      <c r="T165" s="77" t="str">
        <f t="shared" si="8"/>
        <v>Objetivo: alcanzar calificación C. Actual: Cal.E. SATE fachada + carpinterías doble + instalación fotovoltaica</v>
      </c>
      <c r="U165" s="70" t="str">
        <f t="shared" si="9"/>
        <v>Valorar ascensor (verificar)</v>
      </c>
      <c r="V165" s="78">
        <f>IF('📇 INVENTARIO'!L165="","",'📇 INVENTARIO'!L165)</f>
        <v>461.2</v>
      </c>
      <c r="W165" s="75">
        <f>IF($C165="","",V165*'⚙️ SUPUESTOS'!$C$8*'⚙️ SUPUESTOS'!$C$9)</f>
        <v>96.85199999999999</v>
      </c>
      <c r="X165" s="78">
        <f>IF('📇 INVENTARIO'!N165="","",'📇 INVENTARIO'!N165)</f>
        <v>1384</v>
      </c>
      <c r="Y165" s="78">
        <f>IF($C165="","",W165*X165*'⚙️ SUPUESTOS'!$C$7)</f>
        <v>120638.85119999998</v>
      </c>
      <c r="Z165" s="76">
        <f>IF($C165="","",W165*'⚙️ SUPUESTOS'!$C$10)</f>
        <v>129297.41999999998</v>
      </c>
      <c r="AA165" s="76">
        <f>IF($C165="","",Y165*('⚙️ SUPUESTOS'!$C$12*'⚙️ SUPUESTOS'!$C$11+(1-'⚙️ SUPUESTOS'!$C$12)*'⚙️ SUPUESTOS'!$C$13))</f>
        <v>8227.56965184</v>
      </c>
      <c r="AB165" s="76">
        <f>IF($C165="","",IF(Y165&gt;0,ROUND(Y165*'⚙️ SUPUESTOS'!$C$12*'⚙️ SUPUESTOS'!$C$11,0),""))</f>
        <v>3016</v>
      </c>
      <c r="AC165" s="76">
        <f>IF($C165="","",IF(Y165&gt;0,ROUND(Y165*(1-'⚙️ SUPUESTOS'!$C$12)*'⚙️ SUPUESTOS'!$C$13,0),""))</f>
        <v>5212</v>
      </c>
      <c r="AD165" s="65">
        <f t="shared" si="10"/>
        <v>76392</v>
      </c>
      <c r="AE165" s="64">
        <f t="shared" si="11"/>
        <v>15.715141344453295</v>
      </c>
      <c r="AF165" s="59" t="str">
        <f>IF($C165="","",IF(AE165="","—",IF(AE165&lt;='⚙️ SUPUESTOS'!$C$32,"✔ Muy recomendable",IF(AE165&lt;='⚙️ SUPUESTOS'!$C$33,"✔ Recomendable","Valorar"))))</f>
        <v>✔ Recomendable</v>
      </c>
      <c r="AG165" s="68">
        <f>IF('📇 INVENTARIO'!O166="","",'📇 INVENTARIO'!O166)</f>
        <v>41.648150000000001</v>
      </c>
      <c r="AH165" s="68">
        <f>IF('📇 INVENTARIO'!P166="","",'📇 INVENTARIO'!P166)</f>
        <v>-4.7094899999999997</v>
      </c>
    </row>
    <row r="166" spans="1:34" ht="45" customHeight="1">
      <c r="A166" s="69">
        <f>IF($C166="","",RANK(O166,$O$3:$O$265,0)+COUNTIF($O$3:O166,O166)-1)</f>
        <v>164</v>
      </c>
      <c r="B166" s="70" t="str">
        <f>IF($C166="","",IF(A166&lt;='⚙️ SUPUESTOS'!$C$29,"Fase 1",IF(A166&lt;='⚙️ SUPUESTOS'!$C$30,"Fase 2","Fase 3")))</f>
        <v>Fase 3</v>
      </c>
      <c r="C166" s="71" t="str">
        <f>IF('📇 INVENTARIO'!B167="","",'📇 INVENTARIO'!B167)</f>
        <v>C/ Juan Carlos I, 101</v>
      </c>
      <c r="D166" s="70" t="str">
        <f>IF('📇 INVENTARIO'!C167="","",'📇 INVENTARIO'!C167)</f>
        <v>8024002UM5182C</v>
      </c>
      <c r="E166" s="70" t="str">
        <f>IF('📇 INVENTARIO'!D167="","",'📇 INVENTARIO'!D167)</f>
        <v>4718606024</v>
      </c>
      <c r="F166" s="70" t="str">
        <f>IF('📇 INVENTARIO'!F167="","",'📇 INVENTARIO'!F167)</f>
        <v>E</v>
      </c>
      <c r="G166" s="72">
        <f>IF('📇 INVENTARIO'!G167="","",'📇 INVENTARIO'!G167)</f>
        <v>244</v>
      </c>
      <c r="H166" s="72">
        <f>IF('📇 INVENTARIO'!H167="","",'📇 INVENTARIO'!H167)</f>
        <v>51</v>
      </c>
      <c r="I166" s="72">
        <f>IF('📇 INVENTARIO'!I167="","",'📇 INVENTARIO'!I167)</f>
        <v>116.7</v>
      </c>
      <c r="J166" s="72">
        <f>IF('📇 INVENTARIO'!J167="","",'📇 INVENTARIO'!J167)</f>
        <v>1970</v>
      </c>
      <c r="K166" s="73">
        <f>IF($C166="","",(G166-'⚙️ SUPUESTOS'!$C$20)/('⚙️ SUPUESTOS'!$C$25-'⚙️ SUPUESTOS'!$C$20))</f>
        <v>0.17383820998278829</v>
      </c>
      <c r="L166" s="73">
        <f>IF($C166="","",VLOOKUP($E166,'📊 SECCIONES'!$B$4:$S$9,16,FALSE()))</f>
        <v>0.13391192517993736</v>
      </c>
      <c r="M166" s="73">
        <f>IF($C166="","",VLOOKUP($E166,'📊 SECCIONES'!$B$4:$S$9,17,FALSE()))</f>
        <v>0.16476683937823833</v>
      </c>
      <c r="N166" s="73">
        <f>IF($C166="","",VLOOKUP($E166,'📊 SECCIONES'!$B$4:$S$9,18,FALSE()))</f>
        <v>0.79545454545454541</v>
      </c>
      <c r="O166" s="74">
        <f>IF($C166="","",ROUND('⚙️ SUPUESTOS'!$C$21*K166+'⚙️ SUPUESTOS'!$C$22*L166+'⚙️ SUPUESTOS'!$C$23*M166+'⚙️ SUPUESTOS'!$C$24*N166,4))</f>
        <v>0.21970000000000001</v>
      </c>
      <c r="P166" s="75">
        <f>IF($C166="","",VLOOKUP($E166,'📊 SECCIONES'!$B$4:$S$9,7,FALSE()))</f>
        <v>30.06</v>
      </c>
      <c r="Q166" s="76">
        <f>IF($C166="","",VLOOKUP($E166,'📊 SECCIONES'!$B$4:$S$9,8,FALSE()))</f>
        <v>25132</v>
      </c>
      <c r="R166" s="75">
        <f>IF($C166="","",VLOOKUP($E166,'📊 SECCIONES'!$B$4:$S$9,10,FALSE()))</f>
        <v>28.1</v>
      </c>
      <c r="S166" s="72">
        <f>IF('📇 INVENTARIO'!K167="","",'📇 INVENTARIO'!K167)</f>
        <v>5</v>
      </c>
      <c r="T166" s="77" t="str">
        <f t="shared" si="8"/>
        <v>Objetivo: alcanzar calificación C. Actual: Cal.E. SATE fachada + carpinterías doble + instalación fotovoltaica</v>
      </c>
      <c r="U166" s="70" t="str">
        <f t="shared" si="9"/>
        <v>Valorar ascensor (verificar)</v>
      </c>
      <c r="V166" s="78">
        <f>IF('📇 INVENTARIO'!L167="","",'📇 INVENTARIO'!L167)</f>
        <v>693</v>
      </c>
      <c r="W166" s="75">
        <f>IF($C166="","",V166*'⚙️ SUPUESTOS'!$C$8*'⚙️ SUPUESTOS'!$C$9)</f>
        <v>145.53</v>
      </c>
      <c r="X166" s="78">
        <f>IF('📇 INVENTARIO'!N167="","",'📇 INVENTARIO'!N167)</f>
        <v>1370</v>
      </c>
      <c r="Y166" s="78">
        <f>IF($C166="","",W166*X166*'⚙️ SUPUESTOS'!$C$7)</f>
        <v>179438.49000000002</v>
      </c>
      <c r="Z166" s="76">
        <f>IF($C166="","",W166*'⚙️ SUPUESTOS'!$C$10)</f>
        <v>194282.55</v>
      </c>
      <c r="AA166" s="76">
        <f>IF($C166="","",Y166*('⚙️ SUPUESTOS'!$C$12*'⚙️ SUPUESTOS'!$C$11+(1-'⚙️ SUPUESTOS'!$C$12)*'⚙️ SUPUESTOS'!$C$13))</f>
        <v>12237.705018000002</v>
      </c>
      <c r="AB166" s="76">
        <f>IF($C166="","",IF(Y166&gt;0,ROUND(Y166*'⚙️ SUPUESTOS'!$C$12*'⚙️ SUPUESTOS'!$C$11,0),""))</f>
        <v>4486</v>
      </c>
      <c r="AC166" s="76">
        <f>IF($C166="","",IF(Y166&gt;0,ROUND(Y166*(1-'⚙️ SUPUESTOS'!$C$12)*'⚙️ SUPUESTOS'!$C$13,0),""))</f>
        <v>7752</v>
      </c>
      <c r="AD166" s="76">
        <f t="shared" si="10"/>
        <v>111660</v>
      </c>
      <c r="AE166" s="75">
        <f t="shared" si="11"/>
        <v>15.875734029725079</v>
      </c>
      <c r="AF166" s="70" t="str">
        <f>IF($C166="","",IF(AE166="","—",IF(AE166&lt;='⚙️ SUPUESTOS'!$C$32,"✔ Muy recomendable",IF(AE166&lt;='⚙️ SUPUESTOS'!$C$33,"✔ Recomendable","Valorar"))))</f>
        <v>✔ Recomendable</v>
      </c>
      <c r="AG166" s="79">
        <f>IF('📇 INVENTARIO'!O167="","",'📇 INVENTARIO'!O167)</f>
        <v>41.648879999999998</v>
      </c>
      <c r="AH166" s="79">
        <f>IF('📇 INVENTARIO'!P167="","",'📇 INVENTARIO'!P167)</f>
        <v>-4.7062099999999996</v>
      </c>
    </row>
    <row r="167" spans="1:34" ht="45" customHeight="1">
      <c r="A167" s="58">
        <f>IF($C167="","",RANK(O167,$O$3:$O$265,0)+COUNTIF($O$3:O167,O167)-1)</f>
        <v>165</v>
      </c>
      <c r="B167" s="59" t="str">
        <f>IF($C167="","",IF(A167&lt;='⚙️ SUPUESTOS'!$C$29,"Fase 1",IF(A167&lt;='⚙️ SUPUESTOS'!$C$30,"Fase 2","Fase 3")))</f>
        <v>Fase 3</v>
      </c>
      <c r="C167" s="60" t="str">
        <f>IF('📇 INVENTARIO'!B166="","",'📇 INVENTARIO'!B166)</f>
        <v>C/ Faisán, 12</v>
      </c>
      <c r="D167" s="59" t="str">
        <f>IF('📇 INVENTARIO'!C166="","",'📇 INVENTARIO'!C166)</f>
        <v>7723401UM5172D</v>
      </c>
      <c r="E167" s="59" t="str">
        <f>IF('📇 INVENTARIO'!D166="","",'📇 INVENTARIO'!D166)</f>
        <v>4718606028</v>
      </c>
      <c r="F167" s="59" t="str">
        <f>IF('📇 INVENTARIO'!F166="","",'📇 INVENTARIO'!F166)</f>
        <v>D</v>
      </c>
      <c r="G167" s="61">
        <f>IF('📇 INVENTARIO'!G166="","",'📇 INVENTARIO'!G166)</f>
        <v>199</v>
      </c>
      <c r="H167" s="61">
        <f>IF('📇 INVENTARIO'!H166="","",'📇 INVENTARIO'!H166)</f>
        <v>41</v>
      </c>
      <c r="I167" s="61">
        <f>IF('📇 INVENTARIO'!I166="","",'📇 INVENTARIO'!I166)</f>
        <v>116.7</v>
      </c>
      <c r="J167" s="61">
        <f>IF('📇 INVENTARIO'!J166="","",'📇 INVENTARIO'!J166)</f>
        <v>1965</v>
      </c>
      <c r="K167" s="62">
        <f>IF($C167="","",(G167-'⚙️ SUPUESTOS'!$C$20)/('⚙️ SUPUESTOS'!$C$25-'⚙️ SUPUESTOS'!$C$20))</f>
        <v>9.6385542168674704E-2</v>
      </c>
      <c r="L167" s="62">
        <f>IF($C167="","",VLOOKUP($E167,'📊 SECCIONES'!$B$4:$S$9,16,FALSE()))</f>
        <v>0.24395028956990591</v>
      </c>
      <c r="M167" s="62">
        <f>IF($C167="","",VLOOKUP($E167,'📊 SECCIONES'!$B$4:$S$9,17,FALSE()))</f>
        <v>0.34507772020725386</v>
      </c>
      <c r="N167" s="62">
        <f>IF($C167="","",VLOOKUP($E167,'📊 SECCIONES'!$B$4:$S$9,18,FALSE()))</f>
        <v>0.70909090909090911</v>
      </c>
      <c r="O167" s="63">
        <f>IF($C167="","",ROUND('⚙️ SUPUESTOS'!$C$21*K167+'⚙️ SUPUESTOS'!$C$22*L167+'⚙️ SUPUESTOS'!$C$23*M167+'⚙️ SUPUESTOS'!$C$24*N167,4))</f>
        <v>0.21879999999999999</v>
      </c>
      <c r="P167" s="64">
        <f>IF($C167="","",VLOOKUP($E167,'📊 SECCIONES'!$B$4:$S$9,7,FALSE()))</f>
        <v>29.81</v>
      </c>
      <c r="Q167" s="65">
        <f>IF($C167="","",VLOOKUP($E167,'📊 SECCIONES'!$B$4:$S$9,8,FALSE()))</f>
        <v>23665</v>
      </c>
      <c r="R167" s="64">
        <f>IF($C167="","",VLOOKUP($E167,'📊 SECCIONES'!$B$4:$S$9,10,FALSE()))</f>
        <v>26.2</v>
      </c>
      <c r="S167" s="61">
        <f>IF('📇 INVENTARIO'!K166="","",'📇 INVENTARIO'!K166)</f>
        <v>5</v>
      </c>
      <c r="T167" s="66" t="str">
        <f t="shared" si="8"/>
        <v>Objetivo: alcanzar calificación C. Actual: Cal.D. Mantenimiento de envolvente + instalación fotovoltaica en cubierta</v>
      </c>
      <c r="U167" s="59" t="str">
        <f t="shared" si="9"/>
        <v>Valorar ascensor (verificar)</v>
      </c>
      <c r="V167" s="67">
        <f>IF('📇 INVENTARIO'!L166="","",'📇 INVENTARIO'!L166)</f>
        <v>158.19999999999999</v>
      </c>
      <c r="W167" s="64">
        <f>IF($C167="","",V167*'⚙️ SUPUESTOS'!$C$8*'⚙️ SUPUESTOS'!$C$9)</f>
        <v>33.221999999999994</v>
      </c>
      <c r="X167" s="67">
        <f>IF('📇 INVENTARIO'!N166="","",'📇 INVENTARIO'!N166)</f>
        <v>1351</v>
      </c>
      <c r="Y167" s="67">
        <f>IF($C167="","",W167*X167*'⚙️ SUPUESTOS'!$C$7)</f>
        <v>40394.629799999995</v>
      </c>
      <c r="Z167" s="65">
        <f>IF($C167="","",W167*'⚙️ SUPUESTOS'!$C$10)</f>
        <v>44351.369999999995</v>
      </c>
      <c r="AA167" s="65">
        <f>IF($C167="","",Y167*('⚙️ SUPUESTOS'!$C$12*'⚙️ SUPUESTOS'!$C$11+(1-'⚙️ SUPUESTOS'!$C$12)*'⚙️ SUPUESTOS'!$C$13))</f>
        <v>2754.9137523600002</v>
      </c>
      <c r="AB167" s="65">
        <f>IF($C167="","",IF(Y167&gt;0,ROUND(Y167*'⚙️ SUPUESTOS'!$C$12*'⚙️ SUPUESTOS'!$C$11,0),""))</f>
        <v>1010</v>
      </c>
      <c r="AC167" s="65">
        <f>IF($C167="","",IF(Y167&gt;0,ROUND(Y167*(1-'⚙️ SUPUESTOS'!$C$12)*'⚙️ SUPUESTOS'!$C$13,0),""))</f>
        <v>1745</v>
      </c>
      <c r="AD167" s="65">
        <f t="shared" si="10"/>
        <v>24521</v>
      </c>
      <c r="AE167" s="64">
        <f t="shared" si="11"/>
        <v>16.099004900609444</v>
      </c>
      <c r="AF167" s="59" t="str">
        <f>IF($C167="","",IF(AE167="","—",IF(AE167&lt;='⚙️ SUPUESTOS'!$C$32,"✔ Muy recomendable",IF(AE167&lt;='⚙️ SUPUESTOS'!$C$33,"✔ Recomendable","Valorar"))))</f>
        <v>Valorar</v>
      </c>
      <c r="AG167" s="68">
        <f>IF('📇 INVENTARIO'!O168="","",'📇 INVENTARIO'!O168)</f>
        <v>41.64893</v>
      </c>
      <c r="AH167" s="68">
        <f>IF('📇 INVENTARIO'!P168="","",'📇 INVENTARIO'!P168)</f>
        <v>-4.7070699999999999</v>
      </c>
    </row>
    <row r="168" spans="1:34" ht="45" customHeight="1">
      <c r="A168" s="58">
        <f>IF($C168="","",RANK(O168,$O$3:$O$265,0)+COUNTIF($O$3:O168,O168)-1)</f>
        <v>166</v>
      </c>
      <c r="B168" s="59" t="str">
        <f>IF($C168="","",IF(A168&lt;='⚙️ SUPUESTOS'!$C$29,"Fase 1",IF(A168&lt;='⚙️ SUPUESTOS'!$C$30,"Fase 2","Fase 3")))</f>
        <v>Fase 3</v>
      </c>
      <c r="C168" s="60" t="str">
        <f>IF('📇 INVENTARIO'!B168="","",'📇 INVENTARIO'!B168)</f>
        <v>C/ Tordo, 4</v>
      </c>
      <c r="D168" s="59" t="str">
        <f>IF('📇 INVENTARIO'!C168="","",'📇 INVENTARIO'!C168)</f>
        <v>8024009UM5182C</v>
      </c>
      <c r="E168" s="59" t="str">
        <f>IF('📇 INVENTARIO'!D168="","",'📇 INVENTARIO'!D168)</f>
        <v>4718606024</v>
      </c>
      <c r="F168" s="59" t="str">
        <f>IF('📇 INVENTARIO'!F168="","",'📇 INVENTARIO'!F168)</f>
        <v>E</v>
      </c>
      <c r="G168" s="61">
        <f>IF('📇 INVENTARIO'!G168="","",'📇 INVENTARIO'!G168)</f>
        <v>243</v>
      </c>
      <c r="H168" s="61">
        <f>IF('📇 INVENTARIO'!H168="","",'📇 INVENTARIO'!H168)</f>
        <v>51</v>
      </c>
      <c r="I168" s="61">
        <f>IF('📇 INVENTARIO'!I168="","",'📇 INVENTARIO'!I168)</f>
        <v>105.8</v>
      </c>
      <c r="J168" s="61">
        <f>IF('📇 INVENTARIO'!J168="","",'📇 INVENTARIO'!J168)</f>
        <v>1999</v>
      </c>
      <c r="K168" s="62">
        <f>IF($C168="","",(G168-'⚙️ SUPUESTOS'!$C$20)/('⚙️ SUPUESTOS'!$C$25-'⚙️ SUPUESTOS'!$C$20))</f>
        <v>0.1721170395869191</v>
      </c>
      <c r="L168" s="62">
        <f>IF($C168="","",VLOOKUP($E168,'📊 SECCIONES'!$B$4:$S$9,16,FALSE()))</f>
        <v>0.13391192517993736</v>
      </c>
      <c r="M168" s="62">
        <f>IF($C168="","",VLOOKUP($E168,'📊 SECCIONES'!$B$4:$S$9,17,FALSE()))</f>
        <v>0.16476683937823833</v>
      </c>
      <c r="N168" s="62">
        <f>IF($C168="","",VLOOKUP($E168,'📊 SECCIONES'!$B$4:$S$9,18,FALSE()))</f>
        <v>0.79545454545454541</v>
      </c>
      <c r="O168" s="63">
        <f>IF($C168="","",ROUND('⚙️ SUPUESTOS'!$C$21*K168+'⚙️ SUPUESTOS'!$C$22*L168+'⚙️ SUPUESTOS'!$C$23*M168+'⚙️ SUPUESTOS'!$C$24*N168,4))</f>
        <v>0.21879999999999999</v>
      </c>
      <c r="P168" s="64">
        <f>IF($C168="","",VLOOKUP($E168,'📊 SECCIONES'!$B$4:$S$9,7,FALSE()))</f>
        <v>30.06</v>
      </c>
      <c r="Q168" s="65">
        <f>IF($C168="","",VLOOKUP($E168,'📊 SECCIONES'!$B$4:$S$9,8,FALSE()))</f>
        <v>25132</v>
      </c>
      <c r="R168" s="64">
        <f>IF($C168="","",VLOOKUP($E168,'📊 SECCIONES'!$B$4:$S$9,10,FALSE()))</f>
        <v>28.1</v>
      </c>
      <c r="S168" s="61">
        <f>IF('📇 INVENTARIO'!K168="","",'📇 INVENTARIO'!K168)</f>
        <v>4</v>
      </c>
      <c r="T168" s="66" t="str">
        <f t="shared" si="8"/>
        <v>Objetivo: alcanzar calificación C. Actual: Cal.E. SATE fachada + carpinterías doble + instalación fotovoltaica</v>
      </c>
      <c r="U168" s="59" t="str">
        <f t="shared" si="9"/>
        <v>Valorar ascensor (verificar)</v>
      </c>
      <c r="V168" s="67">
        <f>IF('📇 INVENTARIO'!L168="","",'📇 INVENTARIO'!L168)</f>
        <v>352.9</v>
      </c>
      <c r="W168" s="64">
        <f>IF($C168="","",V168*'⚙️ SUPUESTOS'!$C$8*'⚙️ SUPUESTOS'!$C$9)</f>
        <v>74.108999999999995</v>
      </c>
      <c r="X168" s="67">
        <f>IF('📇 INVENTARIO'!N168="","",'📇 INVENTARIO'!N168)</f>
        <v>1267</v>
      </c>
      <c r="Y168" s="67">
        <f>IF($C168="","",W168*X168*'⚙️ SUPUESTOS'!$C$7)</f>
        <v>84506.492699999988</v>
      </c>
      <c r="Z168" s="65">
        <f>IF($C168="","",W168*'⚙️ SUPUESTOS'!$C$10)</f>
        <v>98935.514999999999</v>
      </c>
      <c r="AA168" s="65">
        <f>IF($C168="","",Y168*('⚙️ SUPUESTOS'!$C$12*'⚙️ SUPUESTOS'!$C$11+(1-'⚙️ SUPUESTOS'!$C$12)*'⚙️ SUPUESTOS'!$C$13))</f>
        <v>5763.3428021400005</v>
      </c>
      <c r="AB168" s="65">
        <f>IF($C168="","",IF(Y168&gt;0,ROUND(Y168*'⚙️ SUPUESTOS'!$C$12*'⚙️ SUPUESTOS'!$C$11,0),""))</f>
        <v>2113</v>
      </c>
      <c r="AC168" s="65">
        <f>IF($C168="","",IF(Y168&gt;0,ROUND(Y168*(1-'⚙️ SUPUESTOS'!$C$12)*'⚙️ SUPUESTOS'!$C$13,0),""))</f>
        <v>3651</v>
      </c>
      <c r="AD168" s="76">
        <f t="shared" si="10"/>
        <v>45148</v>
      </c>
      <c r="AE168" s="75">
        <f t="shared" si="11"/>
        <v>17.166342242086316</v>
      </c>
      <c r="AF168" s="70" t="str">
        <f>IF($C168="","",IF(AE168="","—",IF(AE168&lt;='⚙️ SUPUESTOS'!$C$32,"✔ Muy recomendable",IF(AE168&lt;='⚙️ SUPUESTOS'!$C$33,"✔ Recomendable","Valorar"))))</f>
        <v>Valorar</v>
      </c>
      <c r="AG168" s="79">
        <f>IF('📇 INVENTARIO'!O169="","",'📇 INVENTARIO'!O169)</f>
        <v>41.648670000000003</v>
      </c>
      <c r="AH168" s="79">
        <f>IF('📇 INVENTARIO'!P169="","",'📇 INVENTARIO'!P169)</f>
        <v>-4.7083399999999997</v>
      </c>
    </row>
    <row r="169" spans="1:34" ht="45" customHeight="1">
      <c r="A169" s="58">
        <f>IF($C169="","",RANK(O169,$O$3:$O$265,0)+COUNTIF($O$3:O169,O169)-1)</f>
        <v>167</v>
      </c>
      <c r="B169" s="59" t="str">
        <f>IF($C169="","",IF(A169&lt;='⚙️ SUPUESTOS'!$C$29,"Fase 1",IF(A169&lt;='⚙️ SUPUESTOS'!$C$30,"Fase 2","Fase 3")))</f>
        <v>Fase 3</v>
      </c>
      <c r="C169" s="60" t="str">
        <f>IF('📇 INVENTARIO'!B170="","",'📇 INVENTARIO'!B170)</f>
        <v>C/ Tordo, 3</v>
      </c>
      <c r="D169" s="59" t="str">
        <f>IF('📇 INVENTARIO'!C170="","",'📇 INVENTARIO'!C170)</f>
        <v>7924203UM5172D</v>
      </c>
      <c r="E169" s="59" t="str">
        <f>IF('📇 INVENTARIO'!D170="","",'📇 INVENTARIO'!D170)</f>
        <v>4718606024</v>
      </c>
      <c r="F169" s="59" t="str">
        <f>IF('📇 INVENTARIO'!F170="","",'📇 INVENTARIO'!F170)</f>
        <v>E</v>
      </c>
      <c r="G169" s="61">
        <f>IF('📇 INVENTARIO'!G170="","",'📇 INVENTARIO'!G170)</f>
        <v>242</v>
      </c>
      <c r="H169" s="61">
        <f>IF('📇 INVENTARIO'!H170="","",'📇 INVENTARIO'!H170)</f>
        <v>58</v>
      </c>
      <c r="I169" s="61">
        <f>IF('📇 INVENTARIO'!I170="","",'📇 INVENTARIO'!I170)</f>
        <v>118.5</v>
      </c>
      <c r="J169" s="61">
        <f>IF('📇 INVENTARIO'!J170="","",'📇 INVENTARIO'!J170)</f>
        <v>1969</v>
      </c>
      <c r="K169" s="62">
        <f>IF($C169="","",(G169-'⚙️ SUPUESTOS'!$C$20)/('⚙️ SUPUESTOS'!$C$25-'⚙️ SUPUESTOS'!$C$20))</f>
        <v>0.1703958691910499</v>
      </c>
      <c r="L169" s="62">
        <f>IF($C169="","",VLOOKUP($E169,'📊 SECCIONES'!$B$4:$S$9,16,FALSE()))</f>
        <v>0.13391192517993736</v>
      </c>
      <c r="M169" s="62">
        <f>IF($C169="","",VLOOKUP($E169,'📊 SECCIONES'!$B$4:$S$9,17,FALSE()))</f>
        <v>0.16476683937823833</v>
      </c>
      <c r="N169" s="62">
        <f>IF($C169="","",VLOOKUP($E169,'📊 SECCIONES'!$B$4:$S$9,18,FALSE()))</f>
        <v>0.79545454545454541</v>
      </c>
      <c r="O169" s="63">
        <f>IF($C169="","",ROUND('⚙️ SUPUESTOS'!$C$21*K169+'⚙️ SUPUESTOS'!$C$22*L169+'⚙️ SUPUESTOS'!$C$23*M169+'⚙️ SUPUESTOS'!$C$24*N169,4))</f>
        <v>0.21779999999999999</v>
      </c>
      <c r="P169" s="64">
        <f>IF($C169="","",VLOOKUP($E169,'📊 SECCIONES'!$B$4:$S$9,7,FALSE()))</f>
        <v>30.06</v>
      </c>
      <c r="Q169" s="65">
        <f>IF($C169="","",VLOOKUP($E169,'📊 SECCIONES'!$B$4:$S$9,8,FALSE()))</f>
        <v>25132</v>
      </c>
      <c r="R169" s="64">
        <f>IF($C169="","",VLOOKUP($E169,'📊 SECCIONES'!$B$4:$S$9,10,FALSE()))</f>
        <v>28.1</v>
      </c>
      <c r="S169" s="61">
        <f>IF('📇 INVENTARIO'!K170="","",'📇 INVENTARIO'!K170)</f>
        <v>6</v>
      </c>
      <c r="T169" s="66" t="str">
        <f t="shared" si="8"/>
        <v>Objetivo: alcanzar calificación C. Actual: Cal.E. SATE fachada + carpinterías doble + instalación fotovoltaica</v>
      </c>
      <c r="U169" s="59" t="str">
        <f t="shared" si="9"/>
        <v>Valorar ascensor (verificar)</v>
      </c>
      <c r="V169" s="67">
        <f>IF('📇 INVENTARIO'!L170="","",'📇 INVENTARIO'!L170)</f>
        <v>621.70000000000005</v>
      </c>
      <c r="W169" s="64">
        <f>IF($C169="","",V169*'⚙️ SUPUESTOS'!$C$8*'⚙️ SUPUESTOS'!$C$9)</f>
        <v>130.55700000000002</v>
      </c>
      <c r="X169" s="67">
        <f>IF('📇 INVENTARIO'!N170="","",'📇 INVENTARIO'!N170)</f>
        <v>1381</v>
      </c>
      <c r="Y169" s="67">
        <f>IF($C169="","",W169*X169*'⚙️ SUPUESTOS'!$C$7)</f>
        <v>162269.29530000003</v>
      </c>
      <c r="Z169" s="65">
        <f>IF($C169="","",W169*'⚙️ SUPUESTOS'!$C$10)</f>
        <v>174293.59500000003</v>
      </c>
      <c r="AA169" s="65">
        <f>IF($C169="","",Y169*('⚙️ SUPUESTOS'!$C$12*'⚙️ SUPUESTOS'!$C$11+(1-'⚙️ SUPUESTOS'!$C$12)*'⚙️ SUPUESTOS'!$C$13))</f>
        <v>11066.765939460003</v>
      </c>
      <c r="AB169" s="65">
        <f>IF($C169="","",IF(Y169&gt;0,ROUND(Y169*'⚙️ SUPUESTOS'!$C$12*'⚙️ SUPUESTOS'!$C$11,0),""))</f>
        <v>4057</v>
      </c>
      <c r="AC169" s="65">
        <f>IF($C169="","",IF(Y169&gt;0,ROUND(Y169*(1-'⚙️ SUPUESTOS'!$C$12)*'⚙️ SUPUESTOS'!$C$13,0),""))</f>
        <v>7010</v>
      </c>
      <c r="AD169" s="65">
        <f t="shared" si="10"/>
        <v>102376</v>
      </c>
      <c r="AE169" s="64">
        <f t="shared" si="11"/>
        <v>15.749279957077016</v>
      </c>
      <c r="AF169" s="59" t="str">
        <f>IF($C169="","",IF(AE169="","—",IF(AE169&lt;='⚙️ SUPUESTOS'!$C$32,"✔ Muy recomendable",IF(AE169&lt;='⚙️ SUPUESTOS'!$C$33,"✔ Recomendable","Valorar"))))</f>
        <v>✔ Recomendable</v>
      </c>
      <c r="AG169" s="68">
        <f>IF('📇 INVENTARIO'!O170="","",'📇 INVENTARIO'!O170)</f>
        <v>41.649340000000002</v>
      </c>
      <c r="AH169" s="68">
        <f>IF('📇 INVENTARIO'!P170="","",'📇 INVENTARIO'!P170)</f>
        <v>-4.7069000000000001</v>
      </c>
    </row>
    <row r="170" spans="1:34" ht="45" customHeight="1">
      <c r="A170" s="69">
        <f>IF($C170="","",RANK(O170,$O$3:$O$265,0)+COUNTIF($O$3:O170,O170)-1)</f>
        <v>168</v>
      </c>
      <c r="B170" s="70" t="str">
        <f>IF($C170="","",IF(A170&lt;='⚙️ SUPUESTOS'!$C$29,"Fase 1",IF(A170&lt;='⚙️ SUPUESTOS'!$C$30,"Fase 2","Fase 3")))</f>
        <v>Fase 3</v>
      </c>
      <c r="C170" s="71" t="str">
        <f>IF('📇 INVENTARIO'!B171="","",'📇 INVENTARIO'!B171)</f>
        <v>C/ Tordo, 6</v>
      </c>
      <c r="D170" s="70" t="str">
        <f>IF('📇 INVENTARIO'!C171="","",'📇 INVENTARIO'!C171)</f>
        <v>8024010UM5182C</v>
      </c>
      <c r="E170" s="70" t="str">
        <f>IF('📇 INVENTARIO'!D171="","",'📇 INVENTARIO'!D171)</f>
        <v>4718606024</v>
      </c>
      <c r="F170" s="70" t="str">
        <f>IF('📇 INVENTARIO'!F171="","",'📇 INVENTARIO'!F171)</f>
        <v>E</v>
      </c>
      <c r="G170" s="72">
        <f>IF('📇 INVENTARIO'!G171="","",'📇 INVENTARIO'!G171)</f>
        <v>241</v>
      </c>
      <c r="H170" s="72">
        <f>IF('📇 INVENTARIO'!H171="","",'📇 INVENTARIO'!H171)</f>
        <v>48</v>
      </c>
      <c r="I170" s="72">
        <f>IF('📇 INVENTARIO'!I171="","",'📇 INVENTARIO'!I171)</f>
        <v>132</v>
      </c>
      <c r="J170" s="72">
        <f>IF('📇 INVENTARIO'!J171="","",'📇 INVENTARIO'!J171)</f>
        <v>1970</v>
      </c>
      <c r="K170" s="73">
        <f>IF($C170="","",(G170-'⚙️ SUPUESTOS'!$C$20)/('⚙️ SUPUESTOS'!$C$25-'⚙️ SUPUESTOS'!$C$20))</f>
        <v>0.16867469879518071</v>
      </c>
      <c r="L170" s="73">
        <f>IF($C170="","",VLOOKUP($E170,'📊 SECCIONES'!$B$4:$S$9,16,FALSE()))</f>
        <v>0.13391192517993736</v>
      </c>
      <c r="M170" s="73">
        <f>IF($C170="","",VLOOKUP($E170,'📊 SECCIONES'!$B$4:$S$9,17,FALSE()))</f>
        <v>0.16476683937823833</v>
      </c>
      <c r="N170" s="73">
        <f>IF($C170="","",VLOOKUP($E170,'📊 SECCIONES'!$B$4:$S$9,18,FALSE()))</f>
        <v>0.79545454545454541</v>
      </c>
      <c r="O170" s="74">
        <f>IF($C170="","",ROUND('⚙️ SUPUESTOS'!$C$21*K170+'⚙️ SUPUESTOS'!$C$22*L170+'⚙️ SUPUESTOS'!$C$23*M170+'⚙️ SUPUESTOS'!$C$24*N170,4))</f>
        <v>0.21690000000000001</v>
      </c>
      <c r="P170" s="75">
        <f>IF($C170="","",VLOOKUP($E170,'📊 SECCIONES'!$B$4:$S$9,7,FALSE()))</f>
        <v>30.06</v>
      </c>
      <c r="Q170" s="76">
        <f>IF($C170="","",VLOOKUP($E170,'📊 SECCIONES'!$B$4:$S$9,8,FALSE()))</f>
        <v>25132</v>
      </c>
      <c r="R170" s="75">
        <f>IF($C170="","",VLOOKUP($E170,'📊 SECCIONES'!$B$4:$S$9,10,FALSE()))</f>
        <v>28.1</v>
      </c>
      <c r="S170" s="72">
        <f>IF('📇 INVENTARIO'!K171="","",'📇 INVENTARIO'!K171)</f>
        <v>7</v>
      </c>
      <c r="T170" s="77" t="str">
        <f t="shared" si="8"/>
        <v>Objetivo: alcanzar calificación C. Actual: Cal.E. SATE fachada + carpinterías doble + instalación fotovoltaica</v>
      </c>
      <c r="U170" s="70" t="str">
        <f t="shared" si="9"/>
        <v>Valorar ascensor (verificar)</v>
      </c>
      <c r="V170" s="78">
        <f>IF('📇 INVENTARIO'!L171="","",'📇 INVENTARIO'!L171)</f>
        <v>821</v>
      </c>
      <c r="W170" s="75">
        <f>IF($C170="","",V170*'⚙️ SUPUESTOS'!$C$8*'⚙️ SUPUESTOS'!$C$9)</f>
        <v>172.41</v>
      </c>
      <c r="X170" s="78">
        <f>IF('📇 INVENTARIO'!N171="","",'📇 INVENTARIO'!N171)</f>
        <v>1457</v>
      </c>
      <c r="Y170" s="78">
        <f>IF($C170="","",W170*X170*'⚙️ SUPUESTOS'!$C$7)</f>
        <v>226081.23300000001</v>
      </c>
      <c r="Z170" s="76">
        <f>IF($C170="","",W170*'⚙️ SUPUESTOS'!$C$10)</f>
        <v>230167.35</v>
      </c>
      <c r="AA170" s="76">
        <f>IF($C170="","",Y170*('⚙️ SUPUESTOS'!$C$12*'⚙️ SUPUESTOS'!$C$11+(1-'⚙️ SUPUESTOS'!$C$12)*'⚙️ SUPUESTOS'!$C$13))</f>
        <v>15418.740090600002</v>
      </c>
      <c r="AB170" s="76">
        <f>IF($C170="","",IF(Y170&gt;0,ROUND(Y170*'⚙️ SUPUESTOS'!$C$12*'⚙️ SUPUESTOS'!$C$11,0),""))</f>
        <v>5652</v>
      </c>
      <c r="AC170" s="76">
        <f>IF($C170="","",IF(Y170&gt;0,ROUND(Y170*(1-'⚙️ SUPUESTOS'!$C$12)*'⚙️ SUPUESTOS'!$C$13,0),""))</f>
        <v>9767</v>
      </c>
      <c r="AD170" s="76">
        <f t="shared" si="10"/>
        <v>155301</v>
      </c>
      <c r="AE170" s="75">
        <f t="shared" si="11"/>
        <v>14.927766383475197</v>
      </c>
      <c r="AF170" s="70" t="str">
        <f>IF($C170="","",IF(AE170="","—",IF(AE170&lt;='⚙️ SUPUESTOS'!$C$32,"✔ Muy recomendable",IF(AE170&lt;='⚙️ SUPUESTOS'!$C$33,"✔ Recomendable","Valorar"))))</f>
        <v>✔ Muy recomendable</v>
      </c>
      <c r="AG170" s="79">
        <f>IF('📇 INVENTARIO'!O171="","",'📇 INVENTARIO'!O171)</f>
        <v>41.649169999999998</v>
      </c>
      <c r="AH170" s="79">
        <f>IF('📇 INVENTARIO'!P171="","",'📇 INVENTARIO'!P171)</f>
        <v>-4.7068700000000003</v>
      </c>
    </row>
    <row r="171" spans="1:34" ht="45" customHeight="1">
      <c r="A171" s="58">
        <f>IF($C171="","",RANK(O171,$O$3:$O$265,0)+COUNTIF($O$3:O171,O171)-1)</f>
        <v>169</v>
      </c>
      <c r="B171" s="59" t="str">
        <f>IF($C171="","",IF(A171&lt;='⚙️ SUPUESTOS'!$C$29,"Fase 1",IF(A171&lt;='⚙️ SUPUESTOS'!$C$30,"Fase 2","Fase 3")))</f>
        <v>Fase 3</v>
      </c>
      <c r="C171" s="60" t="str">
        <f>IF('📇 INVENTARIO'!B174="","",'📇 INVENTARIO'!B174)</f>
        <v>C/ Faisán, 17</v>
      </c>
      <c r="D171" s="59" t="str">
        <f>IF('📇 INVENTARIO'!C174="","",'📇 INVENTARIO'!C174)</f>
        <v>7923008UM5172D</v>
      </c>
      <c r="E171" s="59" t="str">
        <f>IF('📇 INVENTARIO'!D174="","",'📇 INVENTARIO'!D174)</f>
        <v>4718606025</v>
      </c>
      <c r="F171" s="59" t="str">
        <f>IF('📇 INVENTARIO'!F174="","",'📇 INVENTARIO'!F174)</f>
        <v>G</v>
      </c>
      <c r="G171" s="61">
        <f>IF('📇 INVENTARIO'!G174="","",'📇 INVENTARIO'!G174)</f>
        <v>315</v>
      </c>
      <c r="H171" s="61">
        <f>IF('📇 INVENTARIO'!H174="","",'📇 INVENTARIO'!H174)</f>
        <v>66</v>
      </c>
      <c r="I171" s="61">
        <f>IF('📇 INVENTARIO'!I174="","",'📇 INVENTARIO'!I174)</f>
        <v>176.4</v>
      </c>
      <c r="J171" s="61">
        <f>IF('📇 INVENTARIO'!J174="","",'📇 INVENTARIO'!J174)</f>
        <v>1963</v>
      </c>
      <c r="K171" s="62">
        <f>IF($C171="","",(G171-'⚙️ SUPUESTOS'!$C$20)/('⚙️ SUPUESTOS'!$C$25-'⚙️ SUPUESTOS'!$C$20))</f>
        <v>0.29604130808950085</v>
      </c>
      <c r="L171" s="62">
        <f>IF($C171="","",VLOOKUP($E171,'📊 SECCIONES'!$B$4:$S$9,16,FALSE()))</f>
        <v>0</v>
      </c>
      <c r="M171" s="62">
        <f>IF($C171="","",VLOOKUP($E171,'📊 SECCIONES'!$B$4:$S$9,17,FALSE()))</f>
        <v>0</v>
      </c>
      <c r="N171" s="62">
        <f>IF($C171="","",VLOOKUP($E171,'📊 SECCIONES'!$B$4:$S$9,18,FALSE()))</f>
        <v>0.57727272727272727</v>
      </c>
      <c r="O171" s="63">
        <f>IF($C171="","",ROUND('⚙️ SUPUESTOS'!$C$21*K171+'⚙️ SUPUESTOS'!$C$22*L171+'⚙️ SUPUESTOS'!$C$23*M171+'⚙️ SUPUESTOS'!$C$24*N171,4))</f>
        <v>0.21479999999999999</v>
      </c>
      <c r="P171" s="64">
        <f>IF($C171="","",VLOOKUP($E171,'📊 SECCIONES'!$B$4:$S$9,7,FALSE()))</f>
        <v>20.3</v>
      </c>
      <c r="Q171" s="65">
        <f>IF($C171="","",VLOOKUP($E171,'📊 SECCIONES'!$B$4:$S$9,8,FALSE()))</f>
        <v>26404</v>
      </c>
      <c r="R171" s="64">
        <f>IF($C171="","",VLOOKUP($E171,'📊 SECCIONES'!$B$4:$S$9,10,FALSE()))</f>
        <v>23.3</v>
      </c>
      <c r="S171" s="61">
        <f>IF('📇 INVENTARIO'!K174="","",'📇 INVENTARIO'!K174)</f>
        <v>5</v>
      </c>
      <c r="T171" s="66" t="str">
        <f t="shared" si="8"/>
        <v>Objetivo: alcanzar calificación C. Actual: Cal.G. SATE integral + cubierta + carpinterías triple + aerotermia + instalación fotovoltaica</v>
      </c>
      <c r="U171" s="59" t="str">
        <f t="shared" si="9"/>
        <v>Valorar ascensor (verificar)</v>
      </c>
      <c r="V171" s="67">
        <f>IF('📇 INVENTARIO'!L174="","",'📇 INVENTARIO'!L174)</f>
        <v>316.10000000000002</v>
      </c>
      <c r="W171" s="64">
        <f>IF($C171="","",V171*'⚙️ SUPUESTOS'!$C$8*'⚙️ SUPUESTOS'!$C$9)</f>
        <v>66.381</v>
      </c>
      <c r="X171" s="67">
        <f>IF('📇 INVENTARIO'!N174="","",'📇 INVENTARIO'!N174)</f>
        <v>1423</v>
      </c>
      <c r="Y171" s="67">
        <f>IF($C171="","",W171*X171*'⚙️ SUPUESTOS'!$C$7)</f>
        <v>85014.146699999998</v>
      </c>
      <c r="Z171" s="65">
        <f>IF($C171="","",W171*'⚙️ SUPUESTOS'!$C$10)</f>
        <v>88618.634999999995</v>
      </c>
      <c r="AA171" s="65">
        <f>IF($C171="","",Y171*('⚙️ SUPUESTOS'!$C$12*'⚙️ SUPUESTOS'!$C$11+(1-'⚙️ SUPUESTOS'!$C$12)*'⚙️ SUPUESTOS'!$C$13))</f>
        <v>5797.9648049400012</v>
      </c>
      <c r="AB171" s="65">
        <f>IF($C171="","",IF(Y171&gt;0,ROUND(Y171*'⚙️ SUPUESTOS'!$C$12*'⚙️ SUPUESTOS'!$C$11,0),""))</f>
        <v>2125</v>
      </c>
      <c r="AC171" s="65">
        <f>IF($C171="","",IF(Y171&gt;0,ROUND(Y171*(1-'⚙️ SUPUESTOS'!$C$12)*'⚙️ SUPUESTOS'!$C$13,0),""))</f>
        <v>3673</v>
      </c>
      <c r="AD171" s="65">
        <f t="shared" si="10"/>
        <v>56330</v>
      </c>
      <c r="AE171" s="64">
        <f t="shared" si="11"/>
        <v>15.284438243656611</v>
      </c>
      <c r="AF171" s="59" t="str">
        <f>IF($C171="","",IF(AE171="","—",IF(AE171&lt;='⚙️ SUPUESTOS'!$C$32,"✔ Muy recomendable",IF(AE171&lt;='⚙️ SUPUESTOS'!$C$33,"✔ Recomendable","Valorar"))))</f>
        <v>✔ Recomendable</v>
      </c>
      <c r="AG171" s="68">
        <f>IF('📇 INVENTARIO'!O172="","",'📇 INVENTARIO'!O172)</f>
        <v>41.647129999999997</v>
      </c>
      <c r="AH171" s="68">
        <f>IF('📇 INVENTARIO'!P172="","",'📇 INVENTARIO'!P172)</f>
        <v>-4.7098599999999999</v>
      </c>
    </row>
    <row r="172" spans="1:34" ht="45" customHeight="1">
      <c r="A172" s="58">
        <f>IF($C172="","",RANK(O172,$O$3:$O$265,0)+COUNTIF($O$3:O172,O172)-1)</f>
        <v>170</v>
      </c>
      <c r="B172" s="59" t="str">
        <f>IF($C172="","",IF(A172&lt;='⚙️ SUPUESTOS'!$C$29,"Fase 1",IF(A172&lt;='⚙️ SUPUESTOS'!$C$30,"Fase 2","Fase 3")))</f>
        <v>Fase 3</v>
      </c>
      <c r="C172" s="60" t="str">
        <f>IF('📇 INVENTARIO'!B172="","",'📇 INVENTARIO'!B172)</f>
        <v>C/ Cigüeña, 27</v>
      </c>
      <c r="D172" s="59" t="str">
        <f>IF('📇 INVENTARIO'!C172="","",'📇 INVENTARIO'!C172)</f>
        <v>7723407UM5172D</v>
      </c>
      <c r="E172" s="59" t="str">
        <f>IF('📇 INVENTARIO'!D172="","",'📇 INVENTARIO'!D172)</f>
        <v>4718606028</v>
      </c>
      <c r="F172" s="59" t="str">
        <f>IF('📇 INVENTARIO'!F172="","",'📇 INVENTARIO'!F172)</f>
        <v>E</v>
      </c>
      <c r="G172" s="61">
        <f>IF('📇 INVENTARIO'!G172="","",'📇 INVENTARIO'!G172)</f>
        <v>193</v>
      </c>
      <c r="H172" s="61">
        <f>IF('📇 INVENTARIO'!H172="","",'📇 INVENTARIO'!H172)</f>
        <v>40.5</v>
      </c>
      <c r="I172" s="61">
        <f>IF('📇 INVENTARIO'!I172="","",'📇 INVENTARIO'!I172)</f>
        <v>101</v>
      </c>
      <c r="J172" s="61">
        <f>IF('📇 INVENTARIO'!J172="","",'📇 INVENTARIO'!J172)</f>
        <v>1968</v>
      </c>
      <c r="K172" s="62">
        <f>IF($C172="","",(G172-'⚙️ SUPUESTOS'!$C$20)/('⚙️ SUPUESTOS'!$C$25-'⚙️ SUPUESTOS'!$C$20))</f>
        <v>8.6058519793459548E-2</v>
      </c>
      <c r="L172" s="62">
        <f>IF($C172="","",VLOOKUP($E172,'📊 SECCIONES'!$B$4:$S$9,16,FALSE()))</f>
        <v>0.24395028956990591</v>
      </c>
      <c r="M172" s="62">
        <f>IF($C172="","",VLOOKUP($E172,'📊 SECCIONES'!$B$4:$S$9,17,FALSE()))</f>
        <v>0.34507772020725386</v>
      </c>
      <c r="N172" s="62">
        <f>IF($C172="","",VLOOKUP($E172,'📊 SECCIONES'!$B$4:$S$9,18,FALSE()))</f>
        <v>0.70909090909090911</v>
      </c>
      <c r="O172" s="63">
        <f>IF($C172="","",ROUND('⚙️ SUPUESTOS'!$C$21*K172+'⚙️ SUPUESTOS'!$C$22*L172+'⚙️ SUPUESTOS'!$C$23*M172+'⚙️ SUPUESTOS'!$C$24*N172,4))</f>
        <v>0.21310000000000001</v>
      </c>
      <c r="P172" s="64">
        <f>IF($C172="","",VLOOKUP($E172,'📊 SECCIONES'!$B$4:$S$9,7,FALSE()))</f>
        <v>29.81</v>
      </c>
      <c r="Q172" s="65">
        <f>IF($C172="","",VLOOKUP($E172,'📊 SECCIONES'!$B$4:$S$9,8,FALSE()))</f>
        <v>23665</v>
      </c>
      <c r="R172" s="64">
        <f>IF($C172="","",VLOOKUP($E172,'📊 SECCIONES'!$B$4:$S$9,10,FALSE()))</f>
        <v>26.2</v>
      </c>
      <c r="S172" s="61">
        <f>IF('📇 INVENTARIO'!K172="","",'📇 INVENTARIO'!K172)</f>
        <v>6</v>
      </c>
      <c r="T172" s="66" t="str">
        <f t="shared" si="8"/>
        <v>Objetivo: alcanzar calificación C. Actual: Cal.E. SATE fachada + carpinterías doble + instalación fotovoltaica</v>
      </c>
      <c r="U172" s="59" t="str">
        <f t="shared" si="9"/>
        <v>Valorar ascensor (verificar)</v>
      </c>
      <c r="V172" s="67">
        <f>IF('📇 INVENTARIO'!L172="","",'📇 INVENTARIO'!L172)</f>
        <v>210.6</v>
      </c>
      <c r="W172" s="64">
        <f>IF($C172="","",V172*'⚙️ SUPUESTOS'!$C$8*'⚙️ SUPUESTOS'!$C$9)</f>
        <v>44.225999999999999</v>
      </c>
      <c r="X172" s="67">
        <f>IF('📇 INVENTARIO'!N172="","",'📇 INVENTARIO'!N172)</f>
        <v>1459</v>
      </c>
      <c r="Y172" s="67">
        <f>IF($C172="","",W172*X172*'⚙️ SUPUESTOS'!$C$7)</f>
        <v>58073.160599999996</v>
      </c>
      <c r="Z172" s="65">
        <f>IF($C172="","",W172*'⚙️ SUPUESTOS'!$C$10)</f>
        <v>59041.71</v>
      </c>
      <c r="AA172" s="65">
        <f>IF($C172="","",Y172*('⚙️ SUPUESTOS'!$C$12*'⚙️ SUPUESTOS'!$C$11+(1-'⚙️ SUPUESTOS'!$C$12)*'⚙️ SUPUESTOS'!$C$13))</f>
        <v>3960.5895529200002</v>
      </c>
      <c r="AB172" s="65">
        <f>IF($C172="","",IF(Y172&gt;0,ROUND(Y172*'⚙️ SUPUESTOS'!$C$12*'⚙️ SUPUESTOS'!$C$11,0),""))</f>
        <v>1452</v>
      </c>
      <c r="AC172" s="65">
        <f>IF($C172="","",IF(Y172&gt;0,ROUND(Y172*(1-'⚙️ SUPUESTOS'!$C$12)*'⚙️ SUPUESTOS'!$C$13,0),""))</f>
        <v>2509</v>
      </c>
      <c r="AD172" s="76">
        <f t="shared" si="10"/>
        <v>39973</v>
      </c>
      <c r="AE172" s="75">
        <f t="shared" si="11"/>
        <v>14.907303372668514</v>
      </c>
      <c r="AF172" s="70" t="str">
        <f>IF($C172="","",IF(AE172="","—",IF(AE172&lt;='⚙️ SUPUESTOS'!$C$32,"✔ Muy recomendable",IF(AE172&lt;='⚙️ SUPUESTOS'!$C$33,"✔ Recomendable","Valorar"))))</f>
        <v>✔ Muy recomendable</v>
      </c>
      <c r="AG172" s="79">
        <f>IF('📇 INVENTARIO'!O173="","",'📇 INVENTARIO'!O173)</f>
        <v>41.647170000000003</v>
      </c>
      <c r="AH172" s="79">
        <f>IF('📇 INVENTARIO'!P173="","",'📇 INVENTARIO'!P173)</f>
        <v>-4.7102700000000004</v>
      </c>
    </row>
    <row r="173" spans="1:34" ht="45" customHeight="1">
      <c r="A173" s="69">
        <f>IF($C173="","",RANK(O173,$O$3:$O$265,0)+COUNTIF($O$3:O173,O173)-1)</f>
        <v>171</v>
      </c>
      <c r="B173" s="70" t="str">
        <f>IF($C173="","",IF(A173&lt;='⚙️ SUPUESTOS'!$C$29,"Fase 1",IF(A173&lt;='⚙️ SUPUESTOS'!$C$30,"Fase 2","Fase 3")))</f>
        <v>Fase 3</v>
      </c>
      <c r="C173" s="71" t="str">
        <f>IF('📇 INVENTARIO'!B173="","",'📇 INVENTARIO'!B173)</f>
        <v>C/ Pelícano, 13</v>
      </c>
      <c r="D173" s="70" t="str">
        <f>IF('📇 INVENTARIO'!C173="","",'📇 INVENTARIO'!C173)</f>
        <v>7723409UM5172D</v>
      </c>
      <c r="E173" s="70" t="str">
        <f>IF('📇 INVENTARIO'!D173="","",'📇 INVENTARIO'!D173)</f>
        <v>4718606028</v>
      </c>
      <c r="F173" s="70" t="str">
        <f>IF('📇 INVENTARIO'!F173="","",'📇 INVENTARIO'!F173)</f>
        <v>E</v>
      </c>
      <c r="G173" s="72">
        <f>IF('📇 INVENTARIO'!G173="","",'📇 INVENTARIO'!G173)</f>
        <v>192</v>
      </c>
      <c r="H173" s="72">
        <f>IF('📇 INVENTARIO'!H173="","",'📇 INVENTARIO'!H173)</f>
        <v>40</v>
      </c>
      <c r="I173" s="72">
        <f>IF('📇 INVENTARIO'!I173="","",'📇 INVENTARIO'!I173)</f>
        <v>100</v>
      </c>
      <c r="J173" s="72">
        <f>IF('📇 INVENTARIO'!J173="","",'📇 INVENTARIO'!J173)</f>
        <v>1969</v>
      </c>
      <c r="K173" s="73">
        <f>IF($C173="","",(G173-'⚙️ SUPUESTOS'!$C$20)/('⚙️ SUPUESTOS'!$C$25-'⚙️ SUPUESTOS'!$C$20))</f>
        <v>8.4337349397590355E-2</v>
      </c>
      <c r="L173" s="73">
        <f>IF($C173="","",VLOOKUP($E173,'📊 SECCIONES'!$B$4:$S$9,16,FALSE()))</f>
        <v>0.24395028956990591</v>
      </c>
      <c r="M173" s="73">
        <f>IF($C173="","",VLOOKUP($E173,'📊 SECCIONES'!$B$4:$S$9,17,FALSE()))</f>
        <v>0.34507772020725386</v>
      </c>
      <c r="N173" s="73">
        <f>IF($C173="","",VLOOKUP($E173,'📊 SECCIONES'!$B$4:$S$9,18,FALSE()))</f>
        <v>0.70909090909090911</v>
      </c>
      <c r="O173" s="74">
        <f>IF($C173="","",ROUND('⚙️ SUPUESTOS'!$C$21*K173+'⚙️ SUPUESTOS'!$C$22*L173+'⚙️ SUPUESTOS'!$C$23*M173+'⚙️ SUPUESTOS'!$C$24*N173,4))</f>
        <v>0.2122</v>
      </c>
      <c r="P173" s="75">
        <f>IF($C173="","",VLOOKUP($E173,'📊 SECCIONES'!$B$4:$S$9,7,FALSE()))</f>
        <v>29.81</v>
      </c>
      <c r="Q173" s="76">
        <f>IF($C173="","",VLOOKUP($E173,'📊 SECCIONES'!$B$4:$S$9,8,FALSE()))</f>
        <v>23665</v>
      </c>
      <c r="R173" s="75">
        <f>IF($C173="","",VLOOKUP($E173,'📊 SECCIONES'!$B$4:$S$9,10,FALSE()))</f>
        <v>26.2</v>
      </c>
      <c r="S173" s="72">
        <f>IF('📇 INVENTARIO'!K173="","",'📇 INVENTARIO'!K173)</f>
        <v>6</v>
      </c>
      <c r="T173" s="77" t="str">
        <f t="shared" si="8"/>
        <v>Objetivo: alcanzar calificación C. Actual: Cal.E. SATE fachada + carpinterías doble + instalación fotovoltaica</v>
      </c>
      <c r="U173" s="70" t="str">
        <f t="shared" si="9"/>
        <v>Valorar ascensor (verificar)</v>
      </c>
      <c r="V173" s="78">
        <f>IF('📇 INVENTARIO'!L173="","",'📇 INVENTARIO'!L173)</f>
        <v>271.7</v>
      </c>
      <c r="W173" s="75">
        <f>IF($C173="","",V173*'⚙️ SUPUESTOS'!$C$8*'⚙️ SUPUESTOS'!$C$9)</f>
        <v>57.056999999999995</v>
      </c>
      <c r="X173" s="78">
        <f>IF('📇 INVENTARIO'!N173="","",'📇 INVENTARIO'!N173)</f>
        <v>1496</v>
      </c>
      <c r="Y173" s="78">
        <f>IF($C173="","",W173*X173*'⚙️ SUPUESTOS'!$C$7)</f>
        <v>76821.544800000003</v>
      </c>
      <c r="Z173" s="76">
        <f>IF($C173="","",W173*'⚙️ SUPUESTOS'!$C$10)</f>
        <v>76171.094999999987</v>
      </c>
      <c r="AA173" s="76">
        <f>IF($C173="","",Y173*('⚙️ SUPUESTOS'!$C$12*'⚙️ SUPUESTOS'!$C$11+(1-'⚙️ SUPUESTOS'!$C$12)*'⚙️ SUPUESTOS'!$C$13))</f>
        <v>5239.2293553600011</v>
      </c>
      <c r="AB173" s="76">
        <f>IF($C173="","",IF(Y173&gt;0,ROUND(Y173*'⚙️ SUPUESTOS'!$C$12*'⚙️ SUPUESTOS'!$C$11,0),""))</f>
        <v>1921</v>
      </c>
      <c r="AC173" s="76">
        <f>IF($C173="","",IF(Y173&gt;0,ROUND(Y173*(1-'⚙️ SUPUESTOS'!$C$12)*'⚙️ SUPUESTOS'!$C$13,0),""))</f>
        <v>3319</v>
      </c>
      <c r="AD173" s="65">
        <f t="shared" si="10"/>
        <v>54810</v>
      </c>
      <c r="AE173" s="64">
        <f t="shared" si="11"/>
        <v>14.538606698344488</v>
      </c>
      <c r="AF173" s="59" t="str">
        <f>IF($C173="","",IF(AE173="","—",IF(AE173&lt;='⚙️ SUPUESTOS'!$C$32,"✔ Muy recomendable",IF(AE173&lt;='⚙️ SUPUESTOS'!$C$33,"✔ Recomendable","Valorar"))))</f>
        <v>✔ Muy recomendable</v>
      </c>
      <c r="AG173" s="68">
        <f>IF('📇 INVENTARIO'!O174="","",'📇 INVENTARIO'!O174)</f>
        <v>41.647599999999997</v>
      </c>
      <c r="AH173" s="68">
        <f>IF('📇 INVENTARIO'!P174="","",'📇 INVENTARIO'!P174)</f>
        <v>-4.7080200000000003</v>
      </c>
    </row>
    <row r="174" spans="1:34" ht="45" customHeight="1">
      <c r="A174" s="69">
        <f>IF($C174="","",RANK(O174,$O$3:$O$265,0)+COUNTIF($O$3:O174,O174)-1)</f>
        <v>172</v>
      </c>
      <c r="B174" s="70" t="str">
        <f>IF($C174="","",IF(A174&lt;='⚙️ SUPUESTOS'!$C$29,"Fase 1",IF(A174&lt;='⚙️ SUPUESTOS'!$C$30,"Fase 2","Fase 3")))</f>
        <v>Fase 3</v>
      </c>
      <c r="C174" s="71" t="str">
        <f>IF('📇 INVENTARIO'!B177="","",'📇 INVENTARIO'!B177)</f>
        <v>C/ Gallo, 18</v>
      </c>
      <c r="D174" s="70" t="str">
        <f>IF('📇 INVENTARIO'!C177="","",'📇 INVENTARIO'!C177)</f>
        <v>7922502UM5172B</v>
      </c>
      <c r="E174" s="70" t="str">
        <f>IF('📇 INVENTARIO'!D177="","",'📇 INVENTARIO'!D177)</f>
        <v>4718606025</v>
      </c>
      <c r="F174" s="70" t="str">
        <f>IF('📇 INVENTARIO'!F177="","",'📇 INVENTARIO'!F177)</f>
        <v>G</v>
      </c>
      <c r="G174" s="72">
        <f>IF('📇 INVENTARIO'!G177="","",'📇 INVENTARIO'!G177)</f>
        <v>312</v>
      </c>
      <c r="H174" s="72">
        <f>IF('📇 INVENTARIO'!H177="","",'📇 INVENTARIO'!H177)</f>
        <v>64</v>
      </c>
      <c r="I174" s="72">
        <f>IF('📇 INVENTARIO'!I177="","",'📇 INVENTARIO'!I177)</f>
        <v>148.80000000000001</v>
      </c>
      <c r="J174" s="72">
        <f>IF('📇 INVENTARIO'!J177="","",'📇 INVENTARIO'!J177)</f>
        <v>1969</v>
      </c>
      <c r="K174" s="73">
        <f>IF($C174="","",(G174-'⚙️ SUPUESTOS'!$C$20)/('⚙️ SUPUESTOS'!$C$25-'⚙️ SUPUESTOS'!$C$20))</f>
        <v>0.2908777969018933</v>
      </c>
      <c r="L174" s="73">
        <f>IF($C174="","",VLOOKUP($E174,'📊 SECCIONES'!$B$4:$S$9,16,FALSE()))</f>
        <v>0</v>
      </c>
      <c r="M174" s="73">
        <f>IF($C174="","",VLOOKUP($E174,'📊 SECCIONES'!$B$4:$S$9,17,FALSE()))</f>
        <v>0</v>
      </c>
      <c r="N174" s="73">
        <f>IF($C174="","",VLOOKUP($E174,'📊 SECCIONES'!$B$4:$S$9,18,FALSE()))</f>
        <v>0.57727272727272727</v>
      </c>
      <c r="O174" s="74">
        <f>IF($C174="","",ROUND('⚙️ SUPUESTOS'!$C$21*K174+'⚙️ SUPUESTOS'!$C$22*L174+'⚙️ SUPUESTOS'!$C$23*M174+'⚙️ SUPUESTOS'!$C$24*N174,4))</f>
        <v>0.21190000000000001</v>
      </c>
      <c r="P174" s="75">
        <f>IF($C174="","",VLOOKUP($E174,'📊 SECCIONES'!$B$4:$S$9,7,FALSE()))</f>
        <v>20.3</v>
      </c>
      <c r="Q174" s="76">
        <f>IF($C174="","",VLOOKUP($E174,'📊 SECCIONES'!$B$4:$S$9,8,FALSE()))</f>
        <v>26404</v>
      </c>
      <c r="R174" s="75">
        <f>IF($C174="","",VLOOKUP($E174,'📊 SECCIONES'!$B$4:$S$9,10,FALSE()))</f>
        <v>23.3</v>
      </c>
      <c r="S174" s="72">
        <f>IF('📇 INVENTARIO'!K177="","",'📇 INVENTARIO'!K177)</f>
        <v>6</v>
      </c>
      <c r="T174" s="77" t="str">
        <f t="shared" si="8"/>
        <v>Objetivo: alcanzar calificación C. Actual: Cal.G. SATE integral + cubierta + carpinterías triple + aerotermia + instalación fotovoltaica</v>
      </c>
      <c r="U174" s="70" t="str">
        <f t="shared" si="9"/>
        <v>Valorar ascensor (verificar)</v>
      </c>
      <c r="V174" s="78">
        <f>IF('📇 INVENTARIO'!L177="","",'📇 INVENTARIO'!L177)</f>
        <v>556.6</v>
      </c>
      <c r="W174" s="75">
        <f>IF($C174="","",V174*'⚙️ SUPUESTOS'!$C$8*'⚙️ SUPUESTOS'!$C$9)</f>
        <v>116.886</v>
      </c>
      <c r="X174" s="78">
        <f>IF('📇 INVENTARIO'!N177="","",'📇 INVENTARIO'!N177)</f>
        <v>1359</v>
      </c>
      <c r="Y174" s="78">
        <f>IF($C174="","",W174*X174*'⚙️ SUPUESTOS'!$C$7)</f>
        <v>142963.2666</v>
      </c>
      <c r="Z174" s="76">
        <f>IF($C174="","",W174*'⚙️ SUPUESTOS'!$C$10)</f>
        <v>156042.81</v>
      </c>
      <c r="AA174" s="76">
        <f>IF($C174="","",Y174*('⚙️ SUPUESTOS'!$C$12*'⚙️ SUPUESTOS'!$C$11+(1-'⚙️ SUPUESTOS'!$C$12)*'⚙️ SUPUESTOS'!$C$13))</f>
        <v>9750.0947821200025</v>
      </c>
      <c r="AB174" s="76">
        <f>IF($C174="","",IF(Y174&gt;0,ROUND(Y174*'⚙️ SUPUESTOS'!$C$12*'⚙️ SUPUESTOS'!$C$11,0),""))</f>
        <v>3574</v>
      </c>
      <c r="AC174" s="76">
        <f>IF($C174="","",IF(Y174&gt;0,ROUND(Y174*(1-'⚙️ SUPUESTOS'!$C$12)*'⚙️ SUPUESTOS'!$C$13,0),""))</f>
        <v>6176</v>
      </c>
      <c r="AD174" s="76">
        <f t="shared" si="10"/>
        <v>87710</v>
      </c>
      <c r="AE174" s="75">
        <f t="shared" si="11"/>
        <v>16.004235188170242</v>
      </c>
      <c r="AF174" s="70" t="str">
        <f>IF($C174="","",IF(AE174="","—",IF(AE174&lt;='⚙️ SUPUESTOS'!$C$32,"✔ Muy recomendable",IF(AE174&lt;='⚙️ SUPUESTOS'!$C$33,"✔ Recomendable","Valorar"))))</f>
        <v>Valorar</v>
      </c>
      <c r="AG174" s="79">
        <f>IF('📇 INVENTARIO'!O175="","",'📇 INVENTARIO'!O175)</f>
        <v>41.647370000000002</v>
      </c>
      <c r="AH174" s="79">
        <f>IF('📇 INVENTARIO'!P175="","",'📇 INVENTARIO'!P175)</f>
        <v>-4.7080099999999998</v>
      </c>
    </row>
    <row r="175" spans="1:34" ht="45" customHeight="1">
      <c r="A175" s="58">
        <f>IF($C175="","",RANK(O175,$O$3:$O$265,0)+COUNTIF($O$3:O175,O175)-1)</f>
        <v>173</v>
      </c>
      <c r="B175" s="59" t="str">
        <f>IF($C175="","",IF(A175&lt;='⚙️ SUPUESTOS'!$C$29,"Fase 1",IF(A175&lt;='⚙️ SUPUESTOS'!$C$30,"Fase 2","Fase 3")))</f>
        <v>Fase 3</v>
      </c>
      <c r="C175" s="60" t="str">
        <f>IF('📇 INVENTARIO'!B178="","",'📇 INVENTARIO'!B178)</f>
        <v>C/ Villabáñez, 22</v>
      </c>
      <c r="D175" s="59" t="str">
        <f>IF('📇 INVENTARIO'!C178="","",'📇 INVENTARIO'!C178)</f>
        <v>7923002UM5172D</v>
      </c>
      <c r="E175" s="59" t="str">
        <f>IF('📇 INVENTARIO'!D178="","",'📇 INVENTARIO'!D178)</f>
        <v>4718606025</v>
      </c>
      <c r="F175" s="59" t="str">
        <f>IF('📇 INVENTARIO'!F178="","",'📇 INVENTARIO'!F178)</f>
        <v>E</v>
      </c>
      <c r="G175" s="61">
        <f>IF('📇 INVENTARIO'!G178="","",'📇 INVENTARIO'!G178)</f>
        <v>311</v>
      </c>
      <c r="H175" s="61">
        <f>IF('📇 INVENTARIO'!H178="","",'📇 INVENTARIO'!H178)</f>
        <v>58.5</v>
      </c>
      <c r="I175" s="61">
        <f>IF('📇 INVENTARIO'!I178="","",'📇 INVENTARIO'!I178)</f>
        <v>174.8</v>
      </c>
      <c r="J175" s="61">
        <f>IF('📇 INVENTARIO'!J178="","",'📇 INVENTARIO'!J178)</f>
        <v>1965</v>
      </c>
      <c r="K175" s="62">
        <f>IF($C175="","",(G175-'⚙️ SUPUESTOS'!$C$20)/('⚙️ SUPUESTOS'!$C$25-'⚙️ SUPUESTOS'!$C$20))</f>
        <v>0.28915662650602408</v>
      </c>
      <c r="L175" s="62">
        <f>IF($C175="","",VLOOKUP($E175,'📊 SECCIONES'!$B$4:$S$9,16,FALSE()))</f>
        <v>0</v>
      </c>
      <c r="M175" s="62">
        <f>IF($C175="","",VLOOKUP($E175,'📊 SECCIONES'!$B$4:$S$9,17,FALSE()))</f>
        <v>0</v>
      </c>
      <c r="N175" s="62">
        <f>IF($C175="","",VLOOKUP($E175,'📊 SECCIONES'!$B$4:$S$9,18,FALSE()))</f>
        <v>0.57727272727272727</v>
      </c>
      <c r="O175" s="63">
        <f>IF($C175="","",ROUND('⚙️ SUPUESTOS'!$C$21*K175+'⚙️ SUPUESTOS'!$C$22*L175+'⚙️ SUPUESTOS'!$C$23*M175+'⚙️ SUPUESTOS'!$C$24*N175,4))</f>
        <v>0.21099999999999999</v>
      </c>
      <c r="P175" s="64">
        <f>IF($C175="","",VLOOKUP($E175,'📊 SECCIONES'!$B$4:$S$9,7,FALSE()))</f>
        <v>20.3</v>
      </c>
      <c r="Q175" s="65">
        <f>IF($C175="","",VLOOKUP($E175,'📊 SECCIONES'!$B$4:$S$9,8,FALSE()))</f>
        <v>26404</v>
      </c>
      <c r="R175" s="64">
        <f>IF($C175="","",VLOOKUP($E175,'📊 SECCIONES'!$B$4:$S$9,10,FALSE()))</f>
        <v>23.3</v>
      </c>
      <c r="S175" s="61">
        <f>IF('📇 INVENTARIO'!K178="","",'📇 INVENTARIO'!K178)</f>
        <v>3</v>
      </c>
      <c r="T175" s="66" t="str">
        <f t="shared" si="8"/>
        <v>Objetivo: alcanzar calificación C. Actual: Cal.E. SATE fachada + carpinterías doble + instalación fotovoltaica</v>
      </c>
      <c r="U175" s="59" t="str">
        <f t="shared" si="9"/>
        <v>—</v>
      </c>
      <c r="V175" s="67">
        <f>IF('📇 INVENTARIO'!L178="","",'📇 INVENTARIO'!L178)</f>
        <v>109.2</v>
      </c>
      <c r="W175" s="64">
        <f>IF($C175="","",V175*'⚙️ SUPUESTOS'!$C$8*'⚙️ SUPUESTOS'!$C$9)</f>
        <v>22.931999999999999</v>
      </c>
      <c r="X175" s="67">
        <f>IF('📇 INVENTARIO'!N178="","",'📇 INVENTARIO'!N178)</f>
        <v>1456</v>
      </c>
      <c r="Y175" s="67">
        <f>IF($C175="","",W175*X175*'⚙️ SUPUESTOS'!$C$7)</f>
        <v>30050.092799999999</v>
      </c>
      <c r="Z175" s="65">
        <f>IF($C175="","",W175*'⚙️ SUPUESTOS'!$C$10)</f>
        <v>30614.219999999998</v>
      </c>
      <c r="AA175" s="65">
        <f>IF($C175="","",Y175*('⚙️ SUPUESTOS'!$C$12*'⚙️ SUPUESTOS'!$C$11+(1-'⚙️ SUPUESTOS'!$C$12)*'⚙️ SUPUESTOS'!$C$13))</f>
        <v>2049.4163289600001</v>
      </c>
      <c r="AB175" s="65">
        <f>IF($C175="","",IF(Y175&gt;0,ROUND(Y175*'⚙️ SUPUESTOS'!$C$12*'⚙️ SUPUESTOS'!$C$11,0),""))</f>
        <v>751</v>
      </c>
      <c r="AC175" s="65">
        <f>IF($C175="","",IF(Y175&gt;0,ROUND(Y175*(1-'⚙️ SUPUESTOS'!$C$12)*'⚙️ SUPUESTOS'!$C$13,0),""))</f>
        <v>1298</v>
      </c>
      <c r="AD175" s="65">
        <f t="shared" si="10"/>
        <v>20621</v>
      </c>
      <c r="AE175" s="64">
        <f t="shared" si="11"/>
        <v>14.938018970277033</v>
      </c>
      <c r="AF175" s="59" t="str">
        <f>IF($C175="","",IF(AE175="","—",IF(AE175&lt;='⚙️ SUPUESTOS'!$C$32,"✔ Muy recomendable",IF(AE175&lt;='⚙️ SUPUESTOS'!$C$33,"✔ Recomendable","Valorar"))))</f>
        <v>✔ Muy recomendable</v>
      </c>
      <c r="AG175" s="68">
        <f>IF('📇 INVENTARIO'!O176="","",'📇 INVENTARIO'!O176)</f>
        <v>41.648940000000003</v>
      </c>
      <c r="AH175" s="68">
        <f>IF('📇 INVENTARIO'!P176="","",'📇 INVENTARIO'!P176)</f>
        <v>-4.7112299999999996</v>
      </c>
    </row>
    <row r="176" spans="1:34" ht="45" customHeight="1">
      <c r="A176" s="69">
        <f>IF($C176="","",RANK(O176,$O$3:$O$265,0)+COUNTIF($O$3:O176,O176)-1)</f>
        <v>174</v>
      </c>
      <c r="B176" s="70" t="str">
        <f>IF($C176="","",IF(A176&lt;='⚙️ SUPUESTOS'!$C$29,"Fase 1",IF(A176&lt;='⚙️ SUPUESTOS'!$C$30,"Fase 2","Fase 3")))</f>
        <v>Fase 3</v>
      </c>
      <c r="C176" s="71" t="str">
        <f>IF('📇 INVENTARIO'!B175="","",'📇 INVENTARIO'!B175)</f>
        <v>C/ Gallo, 23</v>
      </c>
      <c r="D176" s="70" t="str">
        <f>IF('📇 INVENTARIO'!C175="","",'📇 INVENTARIO'!C175)</f>
        <v>7822102UM5172B</v>
      </c>
      <c r="E176" s="70" t="str">
        <f>IF('📇 INVENTARIO'!D175="","",'📇 INVENTARIO'!D175)</f>
        <v>4718606028</v>
      </c>
      <c r="F176" s="70" t="str">
        <f>IF('📇 INVENTARIO'!F175="","",'📇 INVENTARIO'!F175)</f>
        <v>E</v>
      </c>
      <c r="G176" s="72">
        <f>IF('📇 INVENTARIO'!G175="","",'📇 INVENTARIO'!G175)</f>
        <v>187</v>
      </c>
      <c r="H176" s="72">
        <f>IF('📇 INVENTARIO'!H175="","",'📇 INVENTARIO'!H175)</f>
        <v>39.5</v>
      </c>
      <c r="I176" s="72">
        <f>IF('📇 INVENTARIO'!I175="","",'📇 INVENTARIO'!I175)</f>
        <v>104.3</v>
      </c>
      <c r="J176" s="72">
        <f>IF('📇 INVENTARIO'!J175="","",'📇 INVENTARIO'!J175)</f>
        <v>1969</v>
      </c>
      <c r="K176" s="73">
        <f>IF($C176="","",(G176-'⚙️ SUPUESTOS'!$C$20)/('⚙️ SUPUESTOS'!$C$25-'⚙️ SUPUESTOS'!$C$20))</f>
        <v>7.5731497418244406E-2</v>
      </c>
      <c r="L176" s="73">
        <f>IF($C176="","",VLOOKUP($E176,'📊 SECCIONES'!$B$4:$S$9,16,FALSE()))</f>
        <v>0.24395028956990591</v>
      </c>
      <c r="M176" s="73">
        <f>IF($C176="","",VLOOKUP($E176,'📊 SECCIONES'!$B$4:$S$9,17,FALSE()))</f>
        <v>0.34507772020725386</v>
      </c>
      <c r="N176" s="73">
        <f>IF($C176="","",VLOOKUP($E176,'📊 SECCIONES'!$B$4:$S$9,18,FALSE()))</f>
        <v>0.70909090909090911</v>
      </c>
      <c r="O176" s="74">
        <f>IF($C176="","",ROUND('⚙️ SUPUESTOS'!$C$21*K176+'⚙️ SUPUESTOS'!$C$22*L176+'⚙️ SUPUESTOS'!$C$23*M176+'⚙️ SUPUESTOS'!$C$24*N176,4))</f>
        <v>0.20749999999999999</v>
      </c>
      <c r="P176" s="75">
        <f>IF($C176="","",VLOOKUP($E176,'📊 SECCIONES'!$B$4:$S$9,7,FALSE()))</f>
        <v>29.81</v>
      </c>
      <c r="Q176" s="76">
        <f>IF($C176="","",VLOOKUP($E176,'📊 SECCIONES'!$B$4:$S$9,8,FALSE()))</f>
        <v>23665</v>
      </c>
      <c r="R176" s="75">
        <f>IF($C176="","",VLOOKUP($E176,'📊 SECCIONES'!$B$4:$S$9,10,FALSE()))</f>
        <v>26.2</v>
      </c>
      <c r="S176" s="72">
        <f>IF('📇 INVENTARIO'!K175="","",'📇 INVENTARIO'!K175)</f>
        <v>6</v>
      </c>
      <c r="T176" s="77" t="str">
        <f t="shared" si="8"/>
        <v>Objetivo: alcanzar calificación C. Actual: Cal.E. SATE fachada + carpinterías doble + instalación fotovoltaica</v>
      </c>
      <c r="U176" s="70" t="str">
        <f t="shared" si="9"/>
        <v>Valorar ascensor (verificar)</v>
      </c>
      <c r="V176" s="78">
        <f>IF('📇 INVENTARIO'!L175="","",'📇 INVENTARIO'!L175)</f>
        <v>331.4</v>
      </c>
      <c r="W176" s="75">
        <f>IF($C176="","",V176*'⚙️ SUPUESTOS'!$C$8*'⚙️ SUPUESTOS'!$C$9)</f>
        <v>69.593999999999994</v>
      </c>
      <c r="X176" s="78">
        <f>IF('📇 INVENTARIO'!N175="","",'📇 INVENTARIO'!N175)</f>
        <v>1348</v>
      </c>
      <c r="Y176" s="78">
        <f>IF($C176="","",W176*X176*'⚙️ SUPUESTOS'!$C$7)</f>
        <v>84431.440799999982</v>
      </c>
      <c r="Z176" s="76">
        <f>IF($C176="","",W176*'⚙️ SUPUESTOS'!$C$10)</f>
        <v>92907.989999999991</v>
      </c>
      <c r="AA176" s="76">
        <f>IF($C176="","",Y176*('⚙️ SUPUESTOS'!$C$12*'⚙️ SUPUESTOS'!$C$11+(1-'⚙️ SUPUESTOS'!$C$12)*'⚙️ SUPUESTOS'!$C$13))</f>
        <v>5758.2242625599993</v>
      </c>
      <c r="AB176" s="76">
        <f>IF($C176="","",IF(Y176&gt;0,ROUND(Y176*'⚙️ SUPUESTOS'!$C$12*'⚙️ SUPUESTOS'!$C$11,0),""))</f>
        <v>2111</v>
      </c>
      <c r="AC176" s="76">
        <f>IF($C176="","",IF(Y176&gt;0,ROUND(Y176*(1-'⚙️ SUPUESTOS'!$C$12)*'⚙️ SUPUESTOS'!$C$13,0),""))</f>
        <v>3647</v>
      </c>
      <c r="AD176" s="76">
        <f t="shared" si="10"/>
        <v>51048</v>
      </c>
      <c r="AE176" s="75">
        <f t="shared" si="11"/>
        <v>16.134833546530686</v>
      </c>
      <c r="AF176" s="70" t="str">
        <f>IF($C176="","",IF(AE176="","—",IF(AE176&lt;='⚙️ SUPUESTOS'!$C$32,"✔ Muy recomendable",IF(AE176&lt;='⚙️ SUPUESTOS'!$C$33,"✔ Recomendable","Valorar"))))</f>
        <v>Valorar</v>
      </c>
      <c r="AG176" s="79">
        <f>IF('📇 INVENTARIO'!O177="","",'📇 INVENTARIO'!O177)</f>
        <v>41.646920000000001</v>
      </c>
      <c r="AH176" s="79">
        <f>IF('📇 INVENTARIO'!P177="","",'📇 INVENTARIO'!P177)</f>
        <v>-4.7081600000000003</v>
      </c>
    </row>
    <row r="177" spans="1:34" ht="45" customHeight="1">
      <c r="A177" s="69">
        <f>IF($C177="","",RANK(O177,$O$3:$O$265,0)+COUNTIF($O$3:O177,O177)-1)</f>
        <v>175</v>
      </c>
      <c r="B177" s="70" t="str">
        <f>IF($C177="","",IF(A177&lt;='⚙️ SUPUESTOS'!$C$29,"Fase 1",IF(A177&lt;='⚙️ SUPUESTOS'!$C$30,"Fase 2","Fase 3")))</f>
        <v>Fase 3</v>
      </c>
      <c r="C177" s="71" t="str">
        <f>IF('📇 INVENTARIO'!B179="","",'📇 INVENTARIO'!B179)</f>
        <v>C/ Tordo, 1</v>
      </c>
      <c r="D177" s="70" t="str">
        <f>IF('📇 INVENTARIO'!C179="","",'📇 INVENTARIO'!C179)</f>
        <v>7924204UM5172D</v>
      </c>
      <c r="E177" s="70" t="str">
        <f>IF('📇 INVENTARIO'!D179="","",'📇 INVENTARIO'!D179)</f>
        <v>4718606024</v>
      </c>
      <c r="F177" s="70" t="str">
        <f>IF('📇 INVENTARIO'!F179="","",'📇 INVENTARIO'!F179)</f>
        <v>E</v>
      </c>
      <c r="G177" s="72">
        <f>IF('📇 INVENTARIO'!G179="","",'📇 INVENTARIO'!G179)</f>
        <v>231</v>
      </c>
      <c r="H177" s="72">
        <f>IF('📇 INVENTARIO'!H179="","",'📇 INVENTARIO'!H179)</f>
        <v>49</v>
      </c>
      <c r="I177" s="72">
        <f>IF('📇 INVENTARIO'!I179="","",'📇 INVENTARIO'!I179)</f>
        <v>113.3</v>
      </c>
      <c r="J177" s="72">
        <f>IF('📇 INVENTARIO'!J179="","",'📇 INVENTARIO'!J179)</f>
        <v>1970</v>
      </c>
      <c r="K177" s="73">
        <f>IF($C177="","",(G177-'⚙️ SUPUESTOS'!$C$20)/('⚙️ SUPUESTOS'!$C$25-'⚙️ SUPUESTOS'!$C$20))</f>
        <v>0.15146299483648881</v>
      </c>
      <c r="L177" s="73">
        <f>IF($C177="","",VLOOKUP($E177,'📊 SECCIONES'!$B$4:$S$9,16,FALSE()))</f>
        <v>0.13391192517993736</v>
      </c>
      <c r="M177" s="73">
        <f>IF($C177="","",VLOOKUP($E177,'📊 SECCIONES'!$B$4:$S$9,17,FALSE()))</f>
        <v>0.16476683937823833</v>
      </c>
      <c r="N177" s="73">
        <f>IF($C177="","",VLOOKUP($E177,'📊 SECCIONES'!$B$4:$S$9,18,FALSE()))</f>
        <v>0.79545454545454541</v>
      </c>
      <c r="O177" s="74">
        <f>IF($C177="","",ROUND('⚙️ SUPUESTOS'!$C$21*K177+'⚙️ SUPUESTOS'!$C$22*L177+'⚙️ SUPUESTOS'!$C$23*M177+'⚙️ SUPUESTOS'!$C$24*N177,4))</f>
        <v>0.2074</v>
      </c>
      <c r="P177" s="75">
        <f>IF($C177="","",VLOOKUP($E177,'📊 SECCIONES'!$B$4:$S$9,7,FALSE()))</f>
        <v>30.06</v>
      </c>
      <c r="Q177" s="76">
        <f>IF($C177="","",VLOOKUP($E177,'📊 SECCIONES'!$B$4:$S$9,8,FALSE()))</f>
        <v>25132</v>
      </c>
      <c r="R177" s="75">
        <f>IF($C177="","",VLOOKUP($E177,'📊 SECCIONES'!$B$4:$S$9,10,FALSE()))</f>
        <v>28.1</v>
      </c>
      <c r="S177" s="72">
        <f>IF('📇 INVENTARIO'!K179="","",'📇 INVENTARIO'!K179)</f>
        <v>6</v>
      </c>
      <c r="T177" s="77" t="str">
        <f t="shared" si="8"/>
        <v>Objetivo: alcanzar calificación C. Actual: Cal.E. SATE fachada + carpinterías doble + instalación fotovoltaica</v>
      </c>
      <c r="U177" s="70" t="str">
        <f t="shared" si="9"/>
        <v>Valorar ascensor (verificar)</v>
      </c>
      <c r="V177" s="78">
        <f>IF('📇 INVENTARIO'!L179="","",'📇 INVENTARIO'!L179)</f>
        <v>381.5</v>
      </c>
      <c r="W177" s="75">
        <f>IF($C177="","",V177*'⚙️ SUPUESTOS'!$C$8*'⚙️ SUPUESTOS'!$C$9)</f>
        <v>80.114999999999995</v>
      </c>
      <c r="X177" s="78">
        <f>IF('📇 INVENTARIO'!N179="","",'📇 INVENTARIO'!N179)</f>
        <v>1410</v>
      </c>
      <c r="Y177" s="78">
        <f>IF($C177="","",W177*X177*'⚙️ SUPUESTOS'!$C$7)</f>
        <v>101665.935</v>
      </c>
      <c r="Z177" s="76">
        <f>IF($C177="","",W177*'⚙️ SUPUESTOS'!$C$10)</f>
        <v>106953.52499999999</v>
      </c>
      <c r="AA177" s="76">
        <f>IF($C177="","",Y177*('⚙️ SUPUESTOS'!$C$12*'⚙️ SUPUESTOS'!$C$11+(1-'⚙️ SUPUESTOS'!$C$12)*'⚙️ SUPUESTOS'!$C$13))</f>
        <v>6933.6167670000013</v>
      </c>
      <c r="AB177" s="76">
        <f>IF($C177="","",IF(Y177&gt;0,ROUND(Y177*'⚙️ SUPUESTOS'!$C$12*'⚙️ SUPUESTOS'!$C$11,0),""))</f>
        <v>2542</v>
      </c>
      <c r="AC177" s="76">
        <f>IF($C177="","",IF(Y177&gt;0,ROUND(Y177*(1-'⚙️ SUPUESTOS'!$C$12)*'⚙️ SUPUESTOS'!$C$13,0),""))</f>
        <v>4392</v>
      </c>
      <c r="AD177" s="65">
        <f t="shared" si="10"/>
        <v>66387</v>
      </c>
      <c r="AE177" s="64">
        <f t="shared" si="11"/>
        <v>15.4253585962577</v>
      </c>
      <c r="AF177" s="59" t="str">
        <f>IF($C177="","",IF(AE177="","—",IF(AE177&lt;='⚙️ SUPUESTOS'!$C$32,"✔ Muy recomendable",IF(AE177&lt;='⚙️ SUPUESTOS'!$C$33,"✔ Recomendable","Valorar"))))</f>
        <v>✔ Recomendable</v>
      </c>
      <c r="AG177" s="68">
        <f>IF('📇 INVENTARIO'!O178="","",'📇 INVENTARIO'!O178)</f>
        <v>41.648650000000004</v>
      </c>
      <c r="AH177" s="68">
        <f>IF('📇 INVENTARIO'!P178="","",'📇 INVENTARIO'!P178)</f>
        <v>-4.7078600000000002</v>
      </c>
    </row>
    <row r="178" spans="1:34" ht="45" customHeight="1">
      <c r="A178" s="58">
        <f>IF($C178="","",RANK(O178,$O$3:$O$265,0)+COUNTIF($O$3:O178,O178)-1)</f>
        <v>176</v>
      </c>
      <c r="B178" s="59" t="str">
        <f>IF($C178="","",IF(A178&lt;='⚙️ SUPUESTOS'!$C$29,"Fase 1",IF(A178&lt;='⚙️ SUPUESTOS'!$C$30,"Fase 2","Fase 3")))</f>
        <v>Fase 3</v>
      </c>
      <c r="C178" s="60" t="str">
        <f>IF('📇 INVENTARIO'!B176="","",'📇 INVENTARIO'!B176)</f>
        <v>C/ Faisán, 2</v>
      </c>
      <c r="D178" s="59" t="str">
        <f>IF('📇 INVENTARIO'!C176="","",'📇 INVENTARIO'!C176)</f>
        <v>7624001UM5172D</v>
      </c>
      <c r="E178" s="59" t="str">
        <f>IF('📇 INVENTARIO'!D176="","",'📇 INVENTARIO'!D176)</f>
        <v>4718606027</v>
      </c>
      <c r="F178" s="59" t="str">
        <f>IF('📇 INVENTARIO'!F176="","",'📇 INVENTARIO'!F176)</f>
        <v>E</v>
      </c>
      <c r="G178" s="61">
        <f>IF('📇 INVENTARIO'!G176="","",'📇 INVENTARIO'!G176)</f>
        <v>182</v>
      </c>
      <c r="H178" s="61">
        <f>IF('📇 INVENTARIO'!H176="","",'📇 INVENTARIO'!H176)</f>
        <v>38</v>
      </c>
      <c r="I178" s="61">
        <f>IF('📇 INVENTARIO'!I176="","",'📇 INVENTARIO'!I176)</f>
        <v>92.5</v>
      </c>
      <c r="J178" s="61">
        <f>IF('📇 INVENTARIO'!J176="","",'📇 INVENTARIO'!J176)</f>
        <v>1977</v>
      </c>
      <c r="K178" s="62">
        <f>IF($C178="","",(G178-'⚙️ SUPUESTOS'!$C$20)/('⚙️ SUPUESTOS'!$C$25-'⚙️ SUPUESTOS'!$C$20))</f>
        <v>6.7125645438898457E-2</v>
      </c>
      <c r="L178" s="62">
        <f>IF($C178="","",VLOOKUP($E178,'📊 SECCIONES'!$B$4:$S$9,16,FALSE()))</f>
        <v>0.19481959841367916</v>
      </c>
      <c r="M178" s="62">
        <f>IF($C178="","",VLOOKUP($E178,'📊 SECCIONES'!$B$4:$S$9,17,FALSE()))</f>
        <v>0.2663212435233161</v>
      </c>
      <c r="N178" s="62">
        <f>IF($C178="","",VLOOKUP($E178,'📊 SECCIONES'!$B$4:$S$9,18,FALSE()))</f>
        <v>1</v>
      </c>
      <c r="O178" s="63">
        <f>IF($C178="","",ROUND('⚙️ SUPUESTOS'!$C$21*K178+'⚙️ SUPUESTOS'!$C$22*L178+'⚙️ SUPUESTOS'!$C$23*M178+'⚙️ SUPUESTOS'!$C$24*N178,4))</f>
        <v>0.20710000000000001</v>
      </c>
      <c r="P178" s="64">
        <f>IF($C178="","",VLOOKUP($E178,'📊 SECCIONES'!$B$4:$S$9,7,FALSE()))</f>
        <v>24.5</v>
      </c>
      <c r="Q178" s="65">
        <f>IF($C178="","",VLOOKUP($E178,'📊 SECCIONES'!$B$4:$S$9,8,FALSE()))</f>
        <v>25206</v>
      </c>
      <c r="R178" s="64">
        <f>IF($C178="","",VLOOKUP($E178,'📊 SECCIONES'!$B$4:$S$9,10,FALSE()))</f>
        <v>32.6</v>
      </c>
      <c r="S178" s="61">
        <f>IF('📇 INVENTARIO'!K176="","",'📇 INVENTARIO'!K176)</f>
        <v>7</v>
      </c>
      <c r="T178" s="66" t="str">
        <f t="shared" si="8"/>
        <v>Objetivo: alcanzar calificación C. Actual: Cal.E. SATE fachada + carpinterías doble + instalación fotovoltaica</v>
      </c>
      <c r="U178" s="59" t="str">
        <f t="shared" si="9"/>
        <v>Valorar ascensor (verificar)</v>
      </c>
      <c r="V178" s="67">
        <f>IF('📇 INVENTARIO'!L176="","",'📇 INVENTARIO'!L176)</f>
        <v>927.7</v>
      </c>
      <c r="W178" s="64">
        <f>IF($C178="","",V178*'⚙️ SUPUESTOS'!$C$8*'⚙️ SUPUESTOS'!$C$9)</f>
        <v>194.81700000000001</v>
      </c>
      <c r="X178" s="67">
        <f>IF('📇 INVENTARIO'!N176="","",'📇 INVENTARIO'!N176)</f>
        <v>1444</v>
      </c>
      <c r="Y178" s="67">
        <f>IF($C178="","",W178*X178*'⚙️ SUPUESTOS'!$C$7)</f>
        <v>253184.17320000002</v>
      </c>
      <c r="Z178" s="65">
        <f>IF($C178="","",W178*'⚙️ SUPUESTOS'!$C$10)</f>
        <v>260080.69500000001</v>
      </c>
      <c r="AA178" s="65">
        <f>IF($C178="","",Y178*('⚙️ SUPUESTOS'!$C$12*'⚙️ SUPUESTOS'!$C$11+(1-'⚙️ SUPUESTOS'!$C$12)*'⚙️ SUPUESTOS'!$C$13))</f>
        <v>17267.160612240004</v>
      </c>
      <c r="AB178" s="65">
        <f>IF($C178="","",IF(Y178&gt;0,ROUND(Y178*'⚙️ SUPUESTOS'!$C$12*'⚙️ SUPUESTOS'!$C$11,0),""))</f>
        <v>6330</v>
      </c>
      <c r="AC178" s="65">
        <f>IF($C178="","",IF(Y178&gt;0,ROUND(Y178*(1-'⚙️ SUPUESTOS'!$C$12)*'⚙️ SUPUESTOS'!$C$13,0),""))</f>
        <v>10938</v>
      </c>
      <c r="AD178" s="76">
        <f t="shared" si="10"/>
        <v>171598</v>
      </c>
      <c r="AE178" s="75">
        <f t="shared" si="11"/>
        <v>15.062157632079888</v>
      </c>
      <c r="AF178" s="70" t="str">
        <f>IF($C178="","",IF(AE178="","—",IF(AE178&lt;='⚙️ SUPUESTOS'!$C$32,"✔ Muy recomendable",IF(AE178&lt;='⚙️ SUPUESTOS'!$C$33,"✔ Recomendable","Valorar"))))</f>
        <v>✔ Recomendable</v>
      </c>
      <c r="AG178" s="79">
        <f>IF('📇 INVENTARIO'!O179="","",'📇 INVENTARIO'!O179)</f>
        <v>41.64911</v>
      </c>
      <c r="AH178" s="79">
        <f>IF('📇 INVENTARIO'!P179="","",'📇 INVENTARIO'!P179)</f>
        <v>-4.70709</v>
      </c>
    </row>
    <row r="179" spans="1:34" ht="45" customHeight="1">
      <c r="A179" s="69">
        <f>IF($C179="","",RANK(O179,$O$3:$O$265,0)+COUNTIF($O$3:O179,O179)-1)</f>
        <v>177</v>
      </c>
      <c r="B179" s="70" t="str">
        <f>IF($C179="","",IF(A179&lt;='⚙️ SUPUESTOS'!$C$29,"Fase 1",IF(A179&lt;='⚙️ SUPUESTOS'!$C$30,"Fase 2","Fase 3")))</f>
        <v>Fase 3</v>
      </c>
      <c r="C179" s="71" t="str">
        <f>IF('📇 INVENTARIO'!B181="","",'📇 INVENTARIO'!B181)</f>
        <v>C/ Juan Carlos I, 91</v>
      </c>
      <c r="D179" s="70" t="str">
        <f>IF('📇 INVENTARIO'!C181="","",'📇 INVENTARIO'!C181)</f>
        <v>7923004UM5172D</v>
      </c>
      <c r="E179" s="70" t="str">
        <f>IF('📇 INVENTARIO'!D181="","",'📇 INVENTARIO'!D181)</f>
        <v>4718606025</v>
      </c>
      <c r="F179" s="70" t="str">
        <f>IF('📇 INVENTARIO'!F181="","",'📇 INVENTARIO'!F181)</f>
        <v>F</v>
      </c>
      <c r="G179" s="72">
        <f>IF('📇 INVENTARIO'!G181="","",'📇 INVENTARIO'!G181)</f>
        <v>304</v>
      </c>
      <c r="H179" s="72">
        <f>IF('📇 INVENTARIO'!H181="","",'📇 INVENTARIO'!H181)</f>
        <v>64</v>
      </c>
      <c r="I179" s="72">
        <f>IF('📇 INVENTARIO'!I181="","",'📇 INVENTARIO'!I181)</f>
        <v>155.5</v>
      </c>
      <c r="J179" s="72">
        <f>IF('📇 INVENTARIO'!J181="","",'📇 INVENTARIO'!J181)</f>
        <v>1969</v>
      </c>
      <c r="K179" s="73">
        <f>IF($C179="","",(G179-'⚙️ SUPUESTOS'!$C$20)/('⚙️ SUPUESTOS'!$C$25-'⚙️ SUPUESTOS'!$C$20))</f>
        <v>0.27710843373493976</v>
      </c>
      <c r="L179" s="73">
        <f>IF($C179="","",VLOOKUP($E179,'📊 SECCIONES'!$B$4:$S$9,16,FALSE()))</f>
        <v>0</v>
      </c>
      <c r="M179" s="73">
        <f>IF($C179="","",VLOOKUP($E179,'📊 SECCIONES'!$B$4:$S$9,17,FALSE()))</f>
        <v>0</v>
      </c>
      <c r="N179" s="73">
        <f>IF($C179="","",VLOOKUP($E179,'📊 SECCIONES'!$B$4:$S$9,18,FALSE()))</f>
        <v>0.57727272727272727</v>
      </c>
      <c r="O179" s="74">
        <f>IF($C179="","",ROUND('⚙️ SUPUESTOS'!$C$21*K179+'⚙️ SUPUESTOS'!$C$22*L179+'⚙️ SUPUESTOS'!$C$23*M179+'⚙️ SUPUESTOS'!$C$24*N179,4))</f>
        <v>0.2044</v>
      </c>
      <c r="P179" s="75">
        <f>IF($C179="","",VLOOKUP($E179,'📊 SECCIONES'!$B$4:$S$9,7,FALSE()))</f>
        <v>20.3</v>
      </c>
      <c r="Q179" s="76">
        <f>IF($C179="","",VLOOKUP($E179,'📊 SECCIONES'!$B$4:$S$9,8,FALSE()))</f>
        <v>26404</v>
      </c>
      <c r="R179" s="75">
        <f>IF($C179="","",VLOOKUP($E179,'📊 SECCIONES'!$B$4:$S$9,10,FALSE()))</f>
        <v>23.3</v>
      </c>
      <c r="S179" s="72">
        <f>IF('📇 INVENTARIO'!K181="","",'📇 INVENTARIO'!K181)</f>
        <v>4</v>
      </c>
      <c r="T179" s="77" t="str">
        <f t="shared" si="8"/>
        <v>Objetivo: alcanzar calificación C. Actual: Cal.F. SATE integral + cubierta + carpinterías triple + aerotermia + instalación fotovoltaica</v>
      </c>
      <c r="U179" s="70" t="str">
        <f t="shared" si="9"/>
        <v>Valorar ascensor (verificar)</v>
      </c>
      <c r="V179" s="78">
        <f>IF('📇 INVENTARIO'!L181="","",'📇 INVENTARIO'!L181)</f>
        <v>556.1</v>
      </c>
      <c r="W179" s="75">
        <f>IF($C179="","",V179*'⚙️ SUPUESTOS'!$C$8*'⚙️ SUPUESTOS'!$C$9)</f>
        <v>116.78100000000001</v>
      </c>
      <c r="X179" s="78">
        <f>IF('📇 INVENTARIO'!N181="","",'📇 INVENTARIO'!N181)</f>
        <v>1437</v>
      </c>
      <c r="Y179" s="78">
        <f>IF($C179="","",W179*X179*'⚙️ SUPUESTOS'!$C$7)</f>
        <v>151032.86730000001</v>
      </c>
      <c r="Z179" s="76">
        <f>IF($C179="","",W179*'⚙️ SUPUESTOS'!$C$10)</f>
        <v>155902.63500000001</v>
      </c>
      <c r="AA179" s="76">
        <f>IF($C179="","",Y179*('⚙️ SUPUESTOS'!$C$12*'⚙️ SUPUESTOS'!$C$11+(1-'⚙️ SUPUESTOS'!$C$12)*'⚙️ SUPUESTOS'!$C$13))</f>
        <v>10300.441549860003</v>
      </c>
      <c r="AB179" s="76">
        <f>IF($C179="","",IF(Y179&gt;0,ROUND(Y179*'⚙️ SUPUESTOS'!$C$12*'⚙️ SUPUESTOS'!$C$11,0),""))</f>
        <v>3776</v>
      </c>
      <c r="AC179" s="76">
        <f>IF($C179="","",IF(Y179&gt;0,ROUND(Y179*(1-'⚙️ SUPUESTOS'!$C$12)*'⚙️ SUPUESTOS'!$C$13,0),""))</f>
        <v>6525</v>
      </c>
      <c r="AD179" s="65">
        <f t="shared" si="10"/>
        <v>101608</v>
      </c>
      <c r="AE179" s="64">
        <f t="shared" si="11"/>
        <v>15.135529311568099</v>
      </c>
      <c r="AF179" s="59" t="str">
        <f>IF($C179="","",IF(AE179="","—",IF(AE179&lt;='⚙️ SUPUESTOS'!$C$32,"✔ Muy recomendable",IF(AE179&lt;='⚙️ SUPUESTOS'!$C$33,"✔ Recomendable","Valorar"))))</f>
        <v>✔ Recomendable</v>
      </c>
      <c r="AG179" s="68">
        <f>IF('📇 INVENTARIO'!O180="","",'📇 INVENTARIO'!O180)</f>
        <v>41.649810000000002</v>
      </c>
      <c r="AH179" s="68">
        <f>IF('📇 INVENTARIO'!P180="","",'📇 INVENTARIO'!P180)</f>
        <v>-4.70634</v>
      </c>
    </row>
    <row r="180" spans="1:34" ht="45" customHeight="1">
      <c r="A180" s="58">
        <f>IF($C180="","",RANK(O180,$O$3:$O$265,0)+COUNTIF($O$3:O180,O180)-1)</f>
        <v>178</v>
      </c>
      <c r="B180" s="59" t="str">
        <f>IF($C180="","",IF(A180&lt;='⚙️ SUPUESTOS'!$C$29,"Fase 1",IF(A180&lt;='⚙️ SUPUESTOS'!$C$30,"Fase 2","Fase 3")))</f>
        <v>Fase 3</v>
      </c>
      <c r="C180" s="60" t="str">
        <f>IF('📇 INVENTARIO'!B180="","",'📇 INVENTARIO'!B180)</f>
        <v>C/ Tordo, 10</v>
      </c>
      <c r="D180" s="59" t="str">
        <f>IF('📇 INVENTARIO'!C180="","",'📇 INVENTARIO'!C180)</f>
        <v>8025205UM5182E</v>
      </c>
      <c r="E180" s="59" t="str">
        <f>IF('📇 INVENTARIO'!D180="","",'📇 INVENTARIO'!D180)</f>
        <v>4718606024</v>
      </c>
      <c r="F180" s="59" t="str">
        <f>IF('📇 INVENTARIO'!F180="","",'📇 INVENTARIO'!F180)</f>
        <v>E</v>
      </c>
      <c r="G180" s="61">
        <f>IF('📇 INVENTARIO'!G180="","",'📇 INVENTARIO'!G180)</f>
        <v>225</v>
      </c>
      <c r="H180" s="61">
        <f>IF('📇 INVENTARIO'!H180="","",'📇 INVENTARIO'!H180)</f>
        <v>48</v>
      </c>
      <c r="I180" s="61">
        <f>IF('📇 INVENTARIO'!I180="","",'📇 INVENTARIO'!I180)</f>
        <v>104.2</v>
      </c>
      <c r="J180" s="61">
        <f>IF('📇 INVENTARIO'!J180="","",'📇 INVENTARIO'!J180)</f>
        <v>1970</v>
      </c>
      <c r="K180" s="62">
        <f>IF($C180="","",(G180-'⚙️ SUPUESTOS'!$C$20)/('⚙️ SUPUESTOS'!$C$25-'⚙️ SUPUESTOS'!$C$20))</f>
        <v>0.14113597246127366</v>
      </c>
      <c r="L180" s="62">
        <f>IF($C180="","",VLOOKUP($E180,'📊 SECCIONES'!$B$4:$S$9,16,FALSE()))</f>
        <v>0.13391192517993736</v>
      </c>
      <c r="M180" s="62">
        <f>IF($C180="","",VLOOKUP($E180,'📊 SECCIONES'!$B$4:$S$9,17,FALSE()))</f>
        <v>0.16476683937823833</v>
      </c>
      <c r="N180" s="62">
        <f>IF($C180="","",VLOOKUP($E180,'📊 SECCIONES'!$B$4:$S$9,18,FALSE()))</f>
        <v>0.79545454545454541</v>
      </c>
      <c r="O180" s="63">
        <f>IF($C180="","",ROUND('⚙️ SUPUESTOS'!$C$21*K180+'⚙️ SUPUESTOS'!$C$22*L180+'⚙️ SUPUESTOS'!$C$23*M180+'⚙️ SUPUESTOS'!$C$24*N180,4))</f>
        <v>0.20169999999999999</v>
      </c>
      <c r="P180" s="64">
        <f>IF($C180="","",VLOOKUP($E180,'📊 SECCIONES'!$B$4:$S$9,7,FALSE()))</f>
        <v>30.06</v>
      </c>
      <c r="Q180" s="65">
        <f>IF($C180="","",VLOOKUP($E180,'📊 SECCIONES'!$B$4:$S$9,8,FALSE()))</f>
        <v>25132</v>
      </c>
      <c r="R180" s="64">
        <f>IF($C180="","",VLOOKUP($E180,'📊 SECCIONES'!$B$4:$S$9,10,FALSE()))</f>
        <v>28.1</v>
      </c>
      <c r="S180" s="61">
        <f>IF('📇 INVENTARIO'!K180="","",'📇 INVENTARIO'!K180)</f>
        <v>6</v>
      </c>
      <c r="T180" s="66" t="str">
        <f t="shared" si="8"/>
        <v>Objetivo: alcanzar calificación C. Actual: Cal.E. SATE fachada + carpinterías doble + instalación fotovoltaica</v>
      </c>
      <c r="U180" s="59" t="str">
        <f t="shared" si="9"/>
        <v>Valorar ascensor (verificar)</v>
      </c>
      <c r="V180" s="67">
        <f>IF('📇 INVENTARIO'!L180="","",'📇 INVENTARIO'!L180)</f>
        <v>741.6</v>
      </c>
      <c r="W180" s="64">
        <f>IF($C180="","",V180*'⚙️ SUPUESTOS'!$C$8*'⚙️ SUPUESTOS'!$C$9)</f>
        <v>155.73599999999999</v>
      </c>
      <c r="X180" s="67">
        <f>IF('📇 INVENTARIO'!N180="","",'📇 INVENTARIO'!N180)</f>
        <v>1349</v>
      </c>
      <c r="Y180" s="67">
        <f>IF($C180="","",W180*X180*'⚙️ SUPUESTOS'!$C$7)</f>
        <v>189079.07759999999</v>
      </c>
      <c r="Z180" s="65">
        <f>IF($C180="","",W180*'⚙️ SUPUESTOS'!$C$10)</f>
        <v>207907.56</v>
      </c>
      <c r="AA180" s="65">
        <f>IF($C180="","",Y180*('⚙️ SUPUESTOS'!$C$12*'⚙️ SUPUESTOS'!$C$11+(1-'⚙️ SUPUESTOS'!$C$12)*'⚙️ SUPUESTOS'!$C$13))</f>
        <v>12895.193092320002</v>
      </c>
      <c r="AB180" s="65">
        <f>IF($C180="","",IF(Y180&gt;0,ROUND(Y180*'⚙️ SUPUESTOS'!$C$12*'⚙️ SUPUESTOS'!$C$11,0),""))</f>
        <v>4727</v>
      </c>
      <c r="AC180" s="65">
        <f>IF($C180="","",IF(Y180&gt;0,ROUND(Y180*(1-'⚙️ SUPUESTOS'!$C$12)*'⚙️ SUPUESTOS'!$C$13,0),""))</f>
        <v>8168</v>
      </c>
      <c r="AD180" s="76">
        <f t="shared" si="10"/>
        <v>114472</v>
      </c>
      <c r="AE180" s="75">
        <f t="shared" si="11"/>
        <v>16.122872958282699</v>
      </c>
      <c r="AF180" s="70" t="str">
        <f>IF($C180="","",IF(AE180="","—",IF(AE180&lt;='⚙️ SUPUESTOS'!$C$32,"✔ Muy recomendable",IF(AE180&lt;='⚙️ SUPUESTOS'!$C$33,"✔ Recomendable","Valorar"))))</f>
        <v>Valorar</v>
      </c>
      <c r="AG180" s="79">
        <f>IF('📇 INVENTARIO'!O181="","",'📇 INVENTARIO'!O181)</f>
        <v>41.647280000000002</v>
      </c>
      <c r="AH180" s="79">
        <f>IF('📇 INVENTARIO'!P181="","",'📇 INVENTARIO'!P181)</f>
        <v>-4.7069999999999999</v>
      </c>
    </row>
    <row r="181" spans="1:34" ht="45" customHeight="1">
      <c r="A181" s="58">
        <f>IF($C181="","",RANK(O181,$O$3:$O$265,0)+COUNTIF($O$3:O181,O181)-1)</f>
        <v>179</v>
      </c>
      <c r="B181" s="59" t="str">
        <f>IF($C181="","",IF(A181&lt;='⚙️ SUPUESTOS'!$C$29,"Fase 1",IF(A181&lt;='⚙️ SUPUESTOS'!$C$30,"Fase 2","Fase 3")))</f>
        <v>Fase 3</v>
      </c>
      <c r="C181" s="60" t="str">
        <f>IF('📇 INVENTARIO'!B182="","",'📇 INVENTARIO'!B182)</f>
        <v>C/ Villabáñez, 29</v>
      </c>
      <c r="D181" s="59" t="str">
        <f>IF('📇 INVENTARIO'!C182="","",'📇 INVENTARIO'!C182)</f>
        <v>8024007UM5182C</v>
      </c>
      <c r="E181" s="59" t="str">
        <f>IF('📇 INVENTARIO'!D182="","",'📇 INVENTARIO'!D182)</f>
        <v>4718606024</v>
      </c>
      <c r="F181" s="59" t="str">
        <f>IF('📇 INVENTARIO'!F182="","",'📇 INVENTARIO'!F182)</f>
        <v>E</v>
      </c>
      <c r="G181" s="61">
        <f>IF('📇 INVENTARIO'!G182="","",'📇 INVENTARIO'!G182)</f>
        <v>223</v>
      </c>
      <c r="H181" s="61">
        <f>IF('📇 INVENTARIO'!H182="","",'📇 INVENTARIO'!H182)</f>
        <v>47</v>
      </c>
      <c r="I181" s="61">
        <f>IF('📇 INVENTARIO'!I182="","",'📇 INVENTARIO'!I182)</f>
        <v>102.5</v>
      </c>
      <c r="J181" s="61">
        <f>IF('📇 INVENTARIO'!J182="","",'📇 INVENTARIO'!J182)</f>
        <v>1963</v>
      </c>
      <c r="K181" s="62">
        <f>IF($C181="","",(G181-'⚙️ SUPUESTOS'!$C$20)/('⚙️ SUPUESTOS'!$C$25-'⚙️ SUPUESTOS'!$C$20))</f>
        <v>0.13769363166953527</v>
      </c>
      <c r="L181" s="62">
        <f>IF($C181="","",VLOOKUP($E181,'📊 SECCIONES'!$B$4:$S$9,16,FALSE()))</f>
        <v>0.13391192517993736</v>
      </c>
      <c r="M181" s="62">
        <f>IF($C181="","",VLOOKUP($E181,'📊 SECCIONES'!$B$4:$S$9,17,FALSE()))</f>
        <v>0.16476683937823833</v>
      </c>
      <c r="N181" s="62">
        <f>IF($C181="","",VLOOKUP($E181,'📊 SECCIONES'!$B$4:$S$9,18,FALSE()))</f>
        <v>0.79545454545454541</v>
      </c>
      <c r="O181" s="63">
        <f>IF($C181="","",ROUND('⚙️ SUPUESTOS'!$C$21*K181+'⚙️ SUPUESTOS'!$C$22*L181+'⚙️ SUPUESTOS'!$C$23*M181+'⚙️ SUPUESTOS'!$C$24*N181,4))</f>
        <v>0.19989999999999999</v>
      </c>
      <c r="P181" s="64">
        <f>IF($C181="","",VLOOKUP($E181,'📊 SECCIONES'!$B$4:$S$9,7,FALSE()))</f>
        <v>30.06</v>
      </c>
      <c r="Q181" s="65">
        <f>IF($C181="","",VLOOKUP($E181,'📊 SECCIONES'!$B$4:$S$9,8,FALSE()))</f>
        <v>25132</v>
      </c>
      <c r="R181" s="64">
        <f>IF($C181="","",VLOOKUP($E181,'📊 SECCIONES'!$B$4:$S$9,10,FALSE()))</f>
        <v>28.1</v>
      </c>
      <c r="S181" s="61">
        <f>IF('📇 INVENTARIO'!K182="","",'📇 INVENTARIO'!K182)</f>
        <v>3</v>
      </c>
      <c r="T181" s="66" t="str">
        <f t="shared" si="8"/>
        <v>Objetivo: alcanzar calificación C. Actual: Cal.E. SATE fachada + carpinterías doble + instalación fotovoltaica</v>
      </c>
      <c r="U181" s="59" t="str">
        <f t="shared" si="9"/>
        <v>—</v>
      </c>
      <c r="V181" s="67">
        <f>IF('📇 INVENTARIO'!L182="","",'📇 INVENTARIO'!L182)</f>
        <v>195.8</v>
      </c>
      <c r="W181" s="64">
        <f>IF($C181="","",V181*'⚙️ SUPUESTOS'!$C$8*'⚙️ SUPUESTOS'!$C$9)</f>
        <v>41.118000000000002</v>
      </c>
      <c r="X181" s="67">
        <f>IF('📇 INVENTARIO'!N182="","",'📇 INVENTARIO'!N182)</f>
        <v>1317</v>
      </c>
      <c r="Y181" s="67">
        <f>IF($C181="","",W181*X181*'⚙️ SUPUESTOS'!$C$7)</f>
        <v>48737.165400000005</v>
      </c>
      <c r="Z181" s="65">
        <f>IF($C181="","",W181*'⚙️ SUPUESTOS'!$C$10)</f>
        <v>54892.530000000006</v>
      </c>
      <c r="AA181" s="65">
        <f>IF($C181="","",Y181*('⚙️ SUPUESTOS'!$C$12*'⚙️ SUPUESTOS'!$C$11+(1-'⚙️ SUPUESTOS'!$C$12)*'⚙️ SUPUESTOS'!$C$13))</f>
        <v>3323.874680280001</v>
      </c>
      <c r="AB181" s="65">
        <f>IF($C181="","",IF(Y181&gt;0,ROUND(Y181*'⚙️ SUPUESTOS'!$C$12*'⚙️ SUPUESTOS'!$C$11,0),""))</f>
        <v>1218</v>
      </c>
      <c r="AC181" s="65">
        <f>IF($C181="","",IF(Y181&gt;0,ROUND(Y181*(1-'⚙️ SUPUESTOS'!$C$12)*'⚙️ SUPUESTOS'!$C$13,0),""))</f>
        <v>2105</v>
      </c>
      <c r="AD181" s="65">
        <f t="shared" si="10"/>
        <v>28204</v>
      </c>
      <c r="AE181" s="64">
        <f t="shared" si="11"/>
        <v>16.514620820594804</v>
      </c>
      <c r="AF181" s="59" t="str">
        <f>IF($C181="","",IF(AE181="","—",IF(AE181&lt;='⚙️ SUPUESTOS'!$C$32,"✔ Muy recomendable",IF(AE181&lt;='⚙️ SUPUESTOS'!$C$33,"✔ Recomendable","Valorar"))))</f>
        <v>Valorar</v>
      </c>
      <c r="AG181" s="68">
        <f>IF('📇 INVENTARIO'!O182="","",'📇 INVENTARIO'!O182)</f>
        <v>41.648629999999997</v>
      </c>
      <c r="AH181" s="68">
        <f>IF('📇 INVENTARIO'!P182="","",'📇 INVENTARIO'!P182)</f>
        <v>-4.7070499999999997</v>
      </c>
    </row>
    <row r="182" spans="1:34" ht="45" customHeight="1">
      <c r="A182" s="58">
        <f>IF($C182="","",RANK(O182,$O$3:$O$265,0)+COUNTIF($O$3:O182,O182)-1)</f>
        <v>180</v>
      </c>
      <c r="B182" s="59" t="str">
        <f>IF($C182="","",IF(A182&lt;='⚙️ SUPUESTOS'!$C$29,"Fase 1",IF(A182&lt;='⚙️ SUPUESTOS'!$C$30,"Fase 2","Fase 3")))</f>
        <v>Fase 3</v>
      </c>
      <c r="C182" s="60" t="str">
        <f>IF('📇 INVENTARIO'!B184="","",'📇 INVENTARIO'!B184)</f>
        <v>C/ Juan Carlos I, 83</v>
      </c>
      <c r="D182" s="59" t="str">
        <f>IF('📇 INVENTARIO'!C184="","",'📇 INVENTARIO'!C184)</f>
        <v>7922506UM5172B</v>
      </c>
      <c r="E182" s="59" t="str">
        <f>IF('📇 INVENTARIO'!D184="","",'📇 INVENTARIO'!D184)</f>
        <v>4718606025</v>
      </c>
      <c r="F182" s="59" t="str">
        <f>IF('📇 INVENTARIO'!F184="","",'📇 INVENTARIO'!F184)</f>
        <v>F</v>
      </c>
      <c r="G182" s="61">
        <f>IF('📇 INVENTARIO'!G184="","",'📇 INVENTARIO'!G184)</f>
        <v>297</v>
      </c>
      <c r="H182" s="61">
        <f>IF('📇 INVENTARIO'!H184="","",'📇 INVENTARIO'!H184)</f>
        <v>57</v>
      </c>
      <c r="I182" s="61">
        <f>IF('📇 INVENTARIO'!I184="","",'📇 INVENTARIO'!I184)</f>
        <v>95.2</v>
      </c>
      <c r="J182" s="61">
        <f>IF('📇 INVENTARIO'!J184="","",'📇 INVENTARIO'!J184)</f>
        <v>1969</v>
      </c>
      <c r="K182" s="62">
        <f>IF($C182="","",(G182-'⚙️ SUPUESTOS'!$C$20)/('⚙️ SUPUESTOS'!$C$25-'⚙️ SUPUESTOS'!$C$20))</f>
        <v>0.26506024096385544</v>
      </c>
      <c r="L182" s="62">
        <f>IF($C182="","",VLOOKUP($E182,'📊 SECCIONES'!$B$4:$S$9,16,FALSE()))</f>
        <v>0</v>
      </c>
      <c r="M182" s="62">
        <f>IF($C182="","",VLOOKUP($E182,'📊 SECCIONES'!$B$4:$S$9,17,FALSE()))</f>
        <v>0</v>
      </c>
      <c r="N182" s="62">
        <f>IF($C182="","",VLOOKUP($E182,'📊 SECCIONES'!$B$4:$S$9,18,FALSE()))</f>
        <v>0.57727272727272727</v>
      </c>
      <c r="O182" s="63">
        <f>IF($C182="","",ROUND('⚙️ SUPUESTOS'!$C$21*K182+'⚙️ SUPUESTOS'!$C$22*L182+'⚙️ SUPUESTOS'!$C$23*M182+'⚙️ SUPUESTOS'!$C$24*N182,4))</f>
        <v>0.19769999999999999</v>
      </c>
      <c r="P182" s="64">
        <f>IF($C182="","",VLOOKUP($E182,'📊 SECCIONES'!$B$4:$S$9,7,FALSE()))</f>
        <v>20.3</v>
      </c>
      <c r="Q182" s="65">
        <f>IF($C182="","",VLOOKUP($E182,'📊 SECCIONES'!$B$4:$S$9,8,FALSE()))</f>
        <v>26404</v>
      </c>
      <c r="R182" s="64">
        <f>IF($C182="","",VLOOKUP($E182,'📊 SECCIONES'!$B$4:$S$9,10,FALSE()))</f>
        <v>23.3</v>
      </c>
      <c r="S182" s="61">
        <f>IF('📇 INVENTARIO'!K184="","",'📇 INVENTARIO'!K184)</f>
        <v>4</v>
      </c>
      <c r="T182" s="66" t="str">
        <f t="shared" si="8"/>
        <v>Objetivo: alcanzar calificación C. Actual: Cal.F. SATE integral + cubierta + carpinterías triple + aerotermia + instalación fotovoltaica</v>
      </c>
      <c r="U182" s="59" t="str">
        <f t="shared" si="9"/>
        <v>Valorar ascensor (verificar)</v>
      </c>
      <c r="V182" s="67">
        <f>IF('📇 INVENTARIO'!L184="","",'📇 INVENTARIO'!L184)</f>
        <v>417</v>
      </c>
      <c r="W182" s="64">
        <f>IF($C182="","",V182*'⚙️ SUPUESTOS'!$C$8*'⚙️ SUPUESTOS'!$C$9)</f>
        <v>87.57</v>
      </c>
      <c r="X182" s="67">
        <f>IF('📇 INVENTARIO'!N184="","",'📇 INVENTARIO'!N184)</f>
        <v>1541</v>
      </c>
      <c r="Y182" s="67">
        <f>IF($C182="","",W182*X182*'⚙️ SUPUESTOS'!$C$7)</f>
        <v>121450.833</v>
      </c>
      <c r="Z182" s="65">
        <f>IF($C182="","",W182*'⚙️ SUPUESTOS'!$C$10)</f>
        <v>116905.95</v>
      </c>
      <c r="AA182" s="65">
        <f>IF($C182="","",Y182*('⚙️ SUPUESTOS'!$C$12*'⚙️ SUPUESTOS'!$C$11+(1-'⚙️ SUPUESTOS'!$C$12)*'⚙️ SUPUESTOS'!$C$13))</f>
        <v>8282.9468106000004</v>
      </c>
      <c r="AB182" s="65">
        <f>IF($C182="","",IF(Y182&gt;0,ROUND(Y182*'⚙️ SUPUESTOS'!$C$12*'⚙️ SUPUESTOS'!$C$11,0),""))</f>
        <v>3036</v>
      </c>
      <c r="AC182" s="65">
        <f>IF($C182="","",IF(Y182&gt;0,ROUND(Y182*(1-'⚙️ SUPUESTOS'!$C$12)*'⚙️ SUPUESTOS'!$C$13,0),""))</f>
        <v>5247</v>
      </c>
      <c r="AD182" s="76">
        <f t="shared" si="10"/>
        <v>90168</v>
      </c>
      <c r="AE182" s="75">
        <f t="shared" si="11"/>
        <v>14.114052966076159</v>
      </c>
      <c r="AF182" s="70" t="str">
        <f>IF($C182="","",IF(AE182="","—",IF(AE182&lt;='⚙️ SUPUESTOS'!$C$32,"✔ Muy recomendable",IF(AE182&lt;='⚙️ SUPUESTOS'!$C$33,"✔ Recomendable","Valorar"))))</f>
        <v>✔ Muy recomendable</v>
      </c>
      <c r="AG182" s="79">
        <f>IF('📇 INVENTARIO'!O183="","",'📇 INVENTARIO'!O183)</f>
        <v>41.648629999999997</v>
      </c>
      <c r="AH182" s="79">
        <f>IF('📇 INVENTARIO'!P183="","",'📇 INVENTARIO'!P183)</f>
        <v>-4.7063100000000002</v>
      </c>
    </row>
    <row r="183" spans="1:34" ht="45" customHeight="1">
      <c r="A183" s="69">
        <f>IF($C183="","",RANK(O183,$O$3:$O$265,0)+COUNTIF($O$3:O183,O183)-1)</f>
        <v>181</v>
      </c>
      <c r="B183" s="70" t="str">
        <f>IF($C183="","",IF(A183&lt;='⚙️ SUPUESTOS'!$C$29,"Fase 1",IF(A183&lt;='⚙️ SUPUESTOS'!$C$30,"Fase 2","Fase 3")))</f>
        <v>Fase 3</v>
      </c>
      <c r="C183" s="71" t="str">
        <f>IF('📇 INVENTARIO'!B183="","",'📇 INVENTARIO'!B183)</f>
        <v>C/ Juan Carlos I, 97</v>
      </c>
      <c r="D183" s="70" t="str">
        <f>IF('📇 INVENTARIO'!C183="","",'📇 INVENTARIO'!C183)</f>
        <v>8024003UM5182C</v>
      </c>
      <c r="E183" s="70" t="str">
        <f>IF('📇 INVENTARIO'!D183="","",'📇 INVENTARIO'!D183)</f>
        <v>4718606024</v>
      </c>
      <c r="F183" s="70" t="str">
        <f>IF('📇 INVENTARIO'!F183="","",'📇 INVENTARIO'!F183)</f>
        <v>E</v>
      </c>
      <c r="G183" s="72">
        <f>IF('📇 INVENTARIO'!G183="","",'📇 INVENTARIO'!G183)</f>
        <v>217</v>
      </c>
      <c r="H183" s="72">
        <f>IF('📇 INVENTARIO'!H183="","",'📇 INVENTARIO'!H183)</f>
        <v>42</v>
      </c>
      <c r="I183" s="72">
        <f>IF('📇 INVENTARIO'!I183="","",'📇 INVENTARIO'!I183)</f>
        <v>104.2</v>
      </c>
      <c r="J183" s="72">
        <f>IF('📇 INVENTARIO'!J183="","",'📇 INVENTARIO'!J183)</f>
        <v>1968</v>
      </c>
      <c r="K183" s="73">
        <f>IF($C183="","",(G183-'⚙️ SUPUESTOS'!$C$20)/('⚙️ SUPUESTOS'!$C$25-'⚙️ SUPUESTOS'!$C$20))</f>
        <v>0.12736660929432014</v>
      </c>
      <c r="L183" s="73">
        <f>IF($C183="","",VLOOKUP($E183,'📊 SECCIONES'!$B$4:$S$9,16,FALSE()))</f>
        <v>0.13391192517993736</v>
      </c>
      <c r="M183" s="73">
        <f>IF($C183="","",VLOOKUP($E183,'📊 SECCIONES'!$B$4:$S$9,17,FALSE()))</f>
        <v>0.16476683937823833</v>
      </c>
      <c r="N183" s="73">
        <f>IF($C183="","",VLOOKUP($E183,'📊 SECCIONES'!$B$4:$S$9,18,FALSE()))</f>
        <v>0.79545454545454541</v>
      </c>
      <c r="O183" s="74">
        <f>IF($C183="","",ROUND('⚙️ SUPUESTOS'!$C$21*K183+'⚙️ SUPUESTOS'!$C$22*L183+'⚙️ SUPUESTOS'!$C$23*M183+'⚙️ SUPUESTOS'!$C$24*N183,4))</f>
        <v>0.19420000000000001</v>
      </c>
      <c r="P183" s="75">
        <f>IF($C183="","",VLOOKUP($E183,'📊 SECCIONES'!$B$4:$S$9,7,FALSE()))</f>
        <v>30.06</v>
      </c>
      <c r="Q183" s="76">
        <f>IF($C183="","",VLOOKUP($E183,'📊 SECCIONES'!$B$4:$S$9,8,FALSE()))</f>
        <v>25132</v>
      </c>
      <c r="R183" s="75">
        <f>IF($C183="","",VLOOKUP($E183,'📊 SECCIONES'!$B$4:$S$9,10,FALSE()))</f>
        <v>28.1</v>
      </c>
      <c r="S183" s="72">
        <f>IF('📇 INVENTARIO'!K183="","",'📇 INVENTARIO'!K183)</f>
        <v>0</v>
      </c>
      <c r="T183" s="77" t="str">
        <f t="shared" si="8"/>
        <v>Objetivo: alcanzar calificación C. Actual: Cal.E. SATE fachada + carpinterías doble + instalación fotovoltaica</v>
      </c>
      <c r="U183" s="70" t="str">
        <f t="shared" si="9"/>
        <v>s/d</v>
      </c>
      <c r="V183" s="78">
        <f>IF('📇 INVENTARIO'!L183="","",'📇 INVENTARIO'!L183)</f>
        <v>736.5</v>
      </c>
      <c r="W183" s="75">
        <f>IF($C183="","",V183*'⚙️ SUPUESTOS'!$C$8*'⚙️ SUPUESTOS'!$C$9)</f>
        <v>154.66499999999999</v>
      </c>
      <c r="X183" s="78">
        <f>IF('📇 INVENTARIO'!N183="","",'📇 INVENTARIO'!N183)</f>
        <v>1116</v>
      </c>
      <c r="Y183" s="78">
        <f>IF($C183="","",W183*X183*'⚙️ SUPUESTOS'!$C$7)</f>
        <v>155345.52599999998</v>
      </c>
      <c r="Z183" s="76">
        <f>IF($C183="","",W183*'⚙️ SUPUESTOS'!$C$10)</f>
        <v>206477.77499999999</v>
      </c>
      <c r="AA183" s="76">
        <f>IF($C183="","",Y183*('⚙️ SUPUESTOS'!$C$12*'⚙️ SUPUESTOS'!$C$11+(1-'⚙️ SUPUESTOS'!$C$12)*'⚙️ SUPUESTOS'!$C$13))</f>
        <v>10594.564873200001</v>
      </c>
      <c r="AB183" s="76">
        <f>IF($C183="","",IF(Y183&gt;0,ROUND(Y183*'⚙️ SUPUESTOS'!$C$12*'⚙️ SUPUESTOS'!$C$11,0),""))</f>
        <v>3884</v>
      </c>
      <c r="AC183" s="76">
        <f>IF($C183="","",IF(Y183&gt;0,ROUND(Y183*(1-'⚙️ SUPUESTOS'!$C$12)*'⚙️ SUPUESTOS'!$C$13,0),""))</f>
        <v>6711</v>
      </c>
      <c r="AD183" s="65">
        <f t="shared" si="10"/>
        <v>58386</v>
      </c>
      <c r="AE183" s="64">
        <f t="shared" si="11"/>
        <v>19.489028333981505</v>
      </c>
      <c r="AF183" s="59" t="str">
        <f>IF($C183="","",IF(AE183="","—",IF(AE183&lt;='⚙️ SUPUESTOS'!$C$32,"✔ Muy recomendable",IF(AE183&lt;='⚙️ SUPUESTOS'!$C$33,"✔ Recomendable","Valorar"))))</f>
        <v>Valorar</v>
      </c>
      <c r="AG183" s="68">
        <f>IF('📇 INVENTARIO'!O184="","",'📇 INVENTARIO'!O184)</f>
        <v>41.6464</v>
      </c>
      <c r="AH183" s="68">
        <f>IF('📇 INVENTARIO'!P184="","",'📇 INVENTARIO'!P184)</f>
        <v>-4.7075230000000001</v>
      </c>
    </row>
    <row r="184" spans="1:34" ht="45" customHeight="1">
      <c r="A184" s="69">
        <f>IF($C184="","",RANK(O184,$O$3:$O$265,0)+COUNTIF($O$3:O184,O184)-1)</f>
        <v>182</v>
      </c>
      <c r="B184" s="70" t="str">
        <f>IF($C184="","",IF(A184&lt;='⚙️ SUPUESTOS'!$C$29,"Fase 1",IF(A184&lt;='⚙️ SUPUESTOS'!$C$30,"Fase 2","Fase 3")))</f>
        <v>Fase 3</v>
      </c>
      <c r="C184" s="71" t="str">
        <f>IF('📇 INVENTARIO'!B185="","",'📇 INVENTARIO'!B185)</f>
        <v>C/ Cigüeña, 30</v>
      </c>
      <c r="D184" s="70" t="str">
        <f>IF('📇 INVENTARIO'!C185="","",'📇 INVENTARIO'!C185)</f>
        <v>7923012UM5172D</v>
      </c>
      <c r="E184" s="70" t="str">
        <f>IF('📇 INVENTARIO'!D185="","",'📇 INVENTARIO'!D185)</f>
        <v>4718606025</v>
      </c>
      <c r="F184" s="70" t="str">
        <f>IF('📇 INVENTARIO'!F185="","",'📇 INVENTARIO'!F185)</f>
        <v>G</v>
      </c>
      <c r="G184" s="72">
        <f>IF('📇 INVENTARIO'!G185="","",'📇 INVENTARIO'!G185)</f>
        <v>293</v>
      </c>
      <c r="H184" s="72">
        <f>IF('📇 INVENTARIO'!H185="","",'📇 INVENTARIO'!H185)</f>
        <v>61.5</v>
      </c>
      <c r="I184" s="72">
        <f>IF('📇 INVENTARIO'!I185="","",'📇 INVENTARIO'!I185)</f>
        <v>156.1</v>
      </c>
      <c r="J184" s="72">
        <f>IF('📇 INVENTARIO'!J185="","",'📇 INVENTARIO'!J185)</f>
        <v>1965</v>
      </c>
      <c r="K184" s="73">
        <f>IF($C184="","",(G184-'⚙️ SUPUESTOS'!$C$20)/('⚙️ SUPUESTOS'!$C$25-'⚙️ SUPUESTOS'!$C$20))</f>
        <v>0.25817555938037867</v>
      </c>
      <c r="L184" s="73">
        <f>IF($C184="","",VLOOKUP($E184,'📊 SECCIONES'!$B$4:$S$9,16,FALSE()))</f>
        <v>0</v>
      </c>
      <c r="M184" s="73">
        <f>IF($C184="","",VLOOKUP($E184,'📊 SECCIONES'!$B$4:$S$9,17,FALSE()))</f>
        <v>0</v>
      </c>
      <c r="N184" s="73">
        <f>IF($C184="","",VLOOKUP($E184,'📊 SECCIONES'!$B$4:$S$9,18,FALSE()))</f>
        <v>0.57727272727272727</v>
      </c>
      <c r="O184" s="74">
        <f>IF($C184="","",ROUND('⚙️ SUPUESTOS'!$C$21*K184+'⚙️ SUPUESTOS'!$C$22*L184+'⚙️ SUPUESTOS'!$C$23*M184+'⚙️ SUPUESTOS'!$C$24*N184,4))</f>
        <v>0.19400000000000001</v>
      </c>
      <c r="P184" s="75">
        <f>IF($C184="","",VLOOKUP($E184,'📊 SECCIONES'!$B$4:$S$9,7,FALSE()))</f>
        <v>20.3</v>
      </c>
      <c r="Q184" s="76">
        <f>IF($C184="","",VLOOKUP($E184,'📊 SECCIONES'!$B$4:$S$9,8,FALSE()))</f>
        <v>26404</v>
      </c>
      <c r="R184" s="75">
        <f>IF($C184="","",VLOOKUP($E184,'📊 SECCIONES'!$B$4:$S$9,10,FALSE()))</f>
        <v>23.3</v>
      </c>
      <c r="S184" s="72">
        <f>IF('📇 INVENTARIO'!K185="","",'📇 INVENTARIO'!K185)</f>
        <v>3</v>
      </c>
      <c r="T184" s="77" t="str">
        <f t="shared" si="8"/>
        <v>Objetivo: alcanzar calificación C. Actual: Cal.G. SATE integral + cubierta + carpinterías triple + aerotermia + instalación fotovoltaica</v>
      </c>
      <c r="U184" s="70" t="str">
        <f t="shared" si="9"/>
        <v>—</v>
      </c>
      <c r="V184" s="78">
        <f>IF('📇 INVENTARIO'!L185="","",'📇 INVENTARIO'!L185)</f>
        <v>111.3</v>
      </c>
      <c r="W184" s="75">
        <f>IF($C184="","",V184*'⚙️ SUPUESTOS'!$C$8*'⚙️ SUPUESTOS'!$C$9)</f>
        <v>23.372999999999998</v>
      </c>
      <c r="X184" s="78">
        <f>IF('📇 INVENTARIO'!N185="","",'📇 INVENTARIO'!N185)</f>
        <v>1346</v>
      </c>
      <c r="Y184" s="78">
        <f>IF($C184="","",W184*X184*'⚙️ SUPUESTOS'!$C$7)</f>
        <v>28314.052199999998</v>
      </c>
      <c r="Z184" s="76">
        <f>IF($C184="","",W184*'⚙️ SUPUESTOS'!$C$10)</f>
        <v>31202.954999999998</v>
      </c>
      <c r="AA184" s="76">
        <f>IF($C184="","",Y184*('⚙️ SUPUESTOS'!$C$12*'⚙️ SUPUESTOS'!$C$11+(1-'⚙️ SUPUESTOS'!$C$12)*'⚙️ SUPUESTOS'!$C$13))</f>
        <v>1931.0183600400003</v>
      </c>
      <c r="AB184" s="76">
        <f>IF($C184="","",IF(Y184&gt;0,ROUND(Y184*'⚙️ SUPUESTOS'!$C$12*'⚙️ SUPUESTOS'!$C$11,0),""))</f>
        <v>708</v>
      </c>
      <c r="AC184" s="76">
        <f>IF($C184="","",IF(Y184&gt;0,ROUND(Y184*(1-'⚙️ SUPUESTOS'!$C$12)*'⚙️ SUPUESTOS'!$C$13,0),""))</f>
        <v>1223</v>
      </c>
      <c r="AD184" s="76">
        <f t="shared" si="10"/>
        <v>17073</v>
      </c>
      <c r="AE184" s="75">
        <f t="shared" si="11"/>
        <v>16.158808039170399</v>
      </c>
      <c r="AF184" s="70" t="str">
        <f>IF($C184="","",IF(AE184="","—",IF(AE184&lt;='⚙️ SUPUESTOS'!$C$32,"✔ Muy recomendable",IF(AE184&lt;='⚙️ SUPUESTOS'!$C$33,"✔ Recomendable","Valorar"))))</f>
        <v>Valorar</v>
      </c>
      <c r="AG184" s="79">
        <f>IF('📇 INVENTARIO'!O185="","",'📇 INVENTARIO'!O185)</f>
        <v>41.648240000000001</v>
      </c>
      <c r="AH184" s="79">
        <f>IF('📇 INVENTARIO'!P185="","",'📇 INVENTARIO'!P185)</f>
        <v>-4.7086899999999998</v>
      </c>
    </row>
    <row r="185" spans="1:34" ht="45" customHeight="1">
      <c r="A185" s="58">
        <f>IF($C185="","",RANK(O185,$O$3:$O$265,0)+COUNTIF($O$3:O185,O185)-1)</f>
        <v>183</v>
      </c>
      <c r="B185" s="59" t="str">
        <f>IF($C185="","",IF(A185&lt;='⚙️ SUPUESTOS'!$C$29,"Fase 1",IF(A185&lt;='⚙️ SUPUESTOS'!$C$30,"Fase 2","Fase 3")))</f>
        <v>Fase 3</v>
      </c>
      <c r="C185" s="60" t="str">
        <f>IF('📇 INVENTARIO'!B186="","",'📇 INVENTARIO'!B186)</f>
        <v>C/ Pelícano, 19</v>
      </c>
      <c r="D185" s="59" t="str">
        <f>IF('📇 INVENTARIO'!C186="","",'📇 INVENTARIO'!C186)</f>
        <v>7922504UM5172B</v>
      </c>
      <c r="E185" s="59" t="str">
        <f>IF('📇 INVENTARIO'!D186="","",'📇 INVENTARIO'!D186)</f>
        <v>4718606025</v>
      </c>
      <c r="F185" s="59" t="str">
        <f>IF('📇 INVENTARIO'!F186="","",'📇 INVENTARIO'!F186)</f>
        <v>E</v>
      </c>
      <c r="G185" s="61">
        <f>IF('📇 INVENTARIO'!G186="","",'📇 INVENTARIO'!G186)</f>
        <v>292</v>
      </c>
      <c r="H185" s="61">
        <f>IF('📇 INVENTARIO'!H186="","",'📇 INVENTARIO'!H186)</f>
        <v>61.5</v>
      </c>
      <c r="I185" s="61">
        <f>IF('📇 INVENTARIO'!I186="","",'📇 INVENTARIO'!I186)</f>
        <v>150.30000000000001</v>
      </c>
      <c r="J185" s="61">
        <f>IF('📇 INVENTARIO'!J186="","",'📇 INVENTARIO'!J186)</f>
        <v>1969</v>
      </c>
      <c r="K185" s="62">
        <f>IF($C185="","",(G185-'⚙️ SUPUESTOS'!$C$20)/('⚙️ SUPUESTOS'!$C$25-'⚙️ SUPUESTOS'!$C$20))</f>
        <v>0.25645438898450945</v>
      </c>
      <c r="L185" s="62">
        <f>IF($C185="","",VLOOKUP($E185,'📊 SECCIONES'!$B$4:$S$9,16,FALSE()))</f>
        <v>0</v>
      </c>
      <c r="M185" s="62">
        <f>IF($C185="","",VLOOKUP($E185,'📊 SECCIONES'!$B$4:$S$9,17,FALSE()))</f>
        <v>0</v>
      </c>
      <c r="N185" s="62">
        <f>IF($C185="","",VLOOKUP($E185,'📊 SECCIONES'!$B$4:$S$9,18,FALSE()))</f>
        <v>0.57727272727272727</v>
      </c>
      <c r="O185" s="63">
        <f>IF($C185="","",ROUND('⚙️ SUPUESTOS'!$C$21*K185+'⚙️ SUPUESTOS'!$C$22*L185+'⚙️ SUPUESTOS'!$C$23*M185+'⚙️ SUPUESTOS'!$C$24*N185,4))</f>
        <v>0.193</v>
      </c>
      <c r="P185" s="64">
        <f>IF($C185="","",VLOOKUP($E185,'📊 SECCIONES'!$B$4:$S$9,7,FALSE()))</f>
        <v>20.3</v>
      </c>
      <c r="Q185" s="65">
        <f>IF($C185="","",VLOOKUP($E185,'📊 SECCIONES'!$B$4:$S$9,8,FALSE()))</f>
        <v>26404</v>
      </c>
      <c r="R185" s="64">
        <f>IF($C185="","",VLOOKUP($E185,'📊 SECCIONES'!$B$4:$S$9,10,FALSE()))</f>
        <v>23.3</v>
      </c>
      <c r="S185" s="61">
        <f>IF('📇 INVENTARIO'!K186="","",'📇 INVENTARIO'!K186)</f>
        <v>4</v>
      </c>
      <c r="T185" s="66" t="str">
        <f t="shared" si="8"/>
        <v>Objetivo: alcanzar calificación C. Actual: Cal.E. SATE fachada + carpinterías doble + instalación fotovoltaica</v>
      </c>
      <c r="U185" s="59" t="str">
        <f t="shared" si="9"/>
        <v>Valorar ascensor (verificar)</v>
      </c>
      <c r="V185" s="67">
        <f>IF('📇 INVENTARIO'!L186="","",'📇 INVENTARIO'!L186)</f>
        <v>612.6</v>
      </c>
      <c r="W185" s="64">
        <f>IF($C185="","",V185*'⚙️ SUPUESTOS'!$C$8*'⚙️ SUPUESTOS'!$C$9)</f>
        <v>128.64599999999999</v>
      </c>
      <c r="X185" s="67">
        <f>IF('📇 INVENTARIO'!N186="","",'📇 INVENTARIO'!N186)</f>
        <v>1400</v>
      </c>
      <c r="Y185" s="67">
        <f>IF($C185="","",W185*X185*'⚙️ SUPUESTOS'!$C$7)</f>
        <v>162093.96</v>
      </c>
      <c r="Z185" s="65">
        <f>IF($C185="","",W185*'⚙️ SUPUESTOS'!$C$10)</f>
        <v>171742.40999999997</v>
      </c>
      <c r="AA185" s="65">
        <f>IF($C185="","",Y185*('⚙️ SUPUESTOS'!$C$12*'⚙️ SUPUESTOS'!$C$11+(1-'⚙️ SUPUESTOS'!$C$12)*'⚙️ SUPUESTOS'!$C$13))</f>
        <v>11054.808072000002</v>
      </c>
      <c r="AB185" s="65">
        <f>IF($C185="","",IF(Y185&gt;0,ROUND(Y185*'⚙️ SUPUESTOS'!$C$12*'⚙️ SUPUESTOS'!$C$11,0),""))</f>
        <v>4052</v>
      </c>
      <c r="AC185" s="65">
        <f>IF($C185="","",IF(Y185&gt;0,ROUND(Y185*(1-'⚙️ SUPUESTOS'!$C$12)*'⚙️ SUPUESTOS'!$C$13,0),""))</f>
        <v>7002</v>
      </c>
      <c r="AD185" s="65">
        <f t="shared" si="10"/>
        <v>104628</v>
      </c>
      <c r="AE185" s="64">
        <f t="shared" si="11"/>
        <v>15.535539729088111</v>
      </c>
      <c r="AF185" s="59" t="str">
        <f>IF($C185="","",IF(AE185="","—",IF(AE185&lt;='⚙️ SUPUESTOS'!$C$32,"✔ Muy recomendable",IF(AE185&lt;='⚙️ SUPUESTOS'!$C$33,"✔ Recomendable","Valorar"))))</f>
        <v>✔ Recomendable</v>
      </c>
      <c r="AG185" s="68">
        <f>IF('📇 INVENTARIO'!O186="","",'📇 INVENTARIO'!O186)</f>
        <v>41.646149999999999</v>
      </c>
      <c r="AH185" s="68">
        <f>IF('📇 INVENTARIO'!P186="","",'📇 INVENTARIO'!P186)</f>
        <v>-4.7078899999999999</v>
      </c>
    </row>
    <row r="186" spans="1:34" ht="45" customHeight="1">
      <c r="A186" s="58">
        <f>IF($C186="","",RANK(O186,$O$3:$O$265,0)+COUNTIF($O$3:O186,O186)-1)</f>
        <v>184</v>
      </c>
      <c r="B186" s="59" t="str">
        <f>IF($C186="","",IF(A186&lt;='⚙️ SUPUESTOS'!$C$29,"Fase 1",IF(A186&lt;='⚙️ SUPUESTOS'!$C$30,"Fase 2","Fase 3")))</f>
        <v>Fase 3</v>
      </c>
      <c r="C186" s="60" t="str">
        <f>IF('📇 INVENTARIO'!B188="","",'📇 INVENTARIO'!B188)</f>
        <v>C/ Pingüino, 7</v>
      </c>
      <c r="D186" s="59" t="str">
        <f>IF('📇 INVENTARIO'!C188="","",'📇 INVENTARIO'!C188)</f>
        <v>7926603UM5172F</v>
      </c>
      <c r="E186" s="59" t="str">
        <f>IF('📇 INVENTARIO'!D188="","",'📇 INVENTARIO'!D188)</f>
        <v>4718606024</v>
      </c>
      <c r="F186" s="59" t="str">
        <f>IF('📇 INVENTARIO'!F188="","",'📇 INVENTARIO'!F188)</f>
        <v>E</v>
      </c>
      <c r="G186" s="61">
        <f>IF('📇 INVENTARIO'!G188="","",'📇 INVENTARIO'!G188)</f>
        <v>209</v>
      </c>
      <c r="H186" s="61">
        <f>IF('📇 INVENTARIO'!H188="","",'📇 INVENTARIO'!H188)</f>
        <v>44</v>
      </c>
      <c r="I186" s="61">
        <f>IF('📇 INVENTARIO'!I188="","",'📇 INVENTARIO'!I188)</f>
        <v>142.9</v>
      </c>
      <c r="J186" s="61">
        <f>IF('📇 INVENTARIO'!J188="","",'📇 INVENTARIO'!J188)</f>
        <v>1968</v>
      </c>
      <c r="K186" s="62">
        <f>IF($C186="","",(G186-'⚙️ SUPUESTOS'!$C$20)/('⚙️ SUPUESTOS'!$C$25-'⚙️ SUPUESTOS'!$C$20))</f>
        <v>0.11359724612736662</v>
      </c>
      <c r="L186" s="62">
        <f>IF($C186="","",VLOOKUP($E186,'📊 SECCIONES'!$B$4:$S$9,16,FALSE()))</f>
        <v>0.13391192517993736</v>
      </c>
      <c r="M186" s="62">
        <f>IF($C186="","",VLOOKUP($E186,'📊 SECCIONES'!$B$4:$S$9,17,FALSE()))</f>
        <v>0.16476683937823833</v>
      </c>
      <c r="N186" s="62">
        <f>IF($C186="","",VLOOKUP($E186,'📊 SECCIONES'!$B$4:$S$9,18,FALSE()))</f>
        <v>0.79545454545454541</v>
      </c>
      <c r="O186" s="63">
        <f>IF($C186="","",ROUND('⚙️ SUPUESTOS'!$C$21*K186+'⚙️ SUPUESTOS'!$C$22*L186+'⚙️ SUPUESTOS'!$C$23*M186+'⚙️ SUPUESTOS'!$C$24*N186,4))</f>
        <v>0.18659999999999999</v>
      </c>
      <c r="P186" s="64">
        <f>IF($C186="","",VLOOKUP($E186,'📊 SECCIONES'!$B$4:$S$9,7,FALSE()))</f>
        <v>30.06</v>
      </c>
      <c r="Q186" s="65">
        <f>IF($C186="","",VLOOKUP($E186,'📊 SECCIONES'!$B$4:$S$9,8,FALSE()))</f>
        <v>25132</v>
      </c>
      <c r="R186" s="64">
        <f>IF($C186="","",VLOOKUP($E186,'📊 SECCIONES'!$B$4:$S$9,10,FALSE()))</f>
        <v>28.1</v>
      </c>
      <c r="S186" s="61">
        <f>IF('📇 INVENTARIO'!K188="","",'📇 INVENTARIO'!K188)</f>
        <v>5</v>
      </c>
      <c r="T186" s="66" t="str">
        <f t="shared" si="8"/>
        <v>Objetivo: alcanzar calificación C. Actual: Cal.E. SATE fachada + carpinterías doble + instalación fotovoltaica</v>
      </c>
      <c r="U186" s="59" t="str">
        <f t="shared" si="9"/>
        <v>Valorar ascensor (verificar)</v>
      </c>
      <c r="V186" s="67">
        <f>IF('📇 INVENTARIO'!L188="","",'📇 INVENTARIO'!L188)</f>
        <v>258.10000000000002</v>
      </c>
      <c r="W186" s="64">
        <f>IF($C186="","",V186*'⚙️ SUPUESTOS'!$C$8*'⚙️ SUPUESTOS'!$C$9)</f>
        <v>54.201000000000001</v>
      </c>
      <c r="X186" s="67">
        <f>IF('📇 INVENTARIO'!N188="","",'📇 INVENTARIO'!N188)</f>
        <v>1373</v>
      </c>
      <c r="Y186" s="67">
        <f>IF($C186="","",W186*X186*'⚙️ SUPUESTOS'!$C$7)</f>
        <v>66976.175700000007</v>
      </c>
      <c r="Z186" s="65">
        <f>IF($C186="","",W186*'⚙️ SUPUESTOS'!$C$10)</f>
        <v>72358.335000000006</v>
      </c>
      <c r="AA186" s="65">
        <f>IF($C186="","",Y186*('⚙️ SUPUESTOS'!$C$12*'⚙️ SUPUESTOS'!$C$11+(1-'⚙️ SUPUESTOS'!$C$12)*'⚙️ SUPUESTOS'!$C$13))</f>
        <v>4567.7751827400016</v>
      </c>
      <c r="AB186" s="65">
        <f>IF($C186="","",IF(Y186&gt;0,ROUND(Y186*'⚙️ SUPUESTOS'!$C$12*'⚙️ SUPUESTOS'!$C$11,0),""))</f>
        <v>1674</v>
      </c>
      <c r="AC186" s="65">
        <f>IF($C186="","",IF(Y186&gt;0,ROUND(Y186*(1-'⚙️ SUPUESTOS'!$C$12)*'⚙️ SUPUESTOS'!$C$13,0),""))</f>
        <v>2893</v>
      </c>
      <c r="AD186" s="76">
        <f t="shared" si="10"/>
        <v>41836</v>
      </c>
      <c r="AE186" s="75">
        <f t="shared" si="11"/>
        <v>15.841045608684164</v>
      </c>
      <c r="AF186" s="70" t="str">
        <f>IF($C186="","",IF(AE186="","—",IF(AE186&lt;='⚙️ SUPUESTOS'!$C$32,"✔ Muy recomendable",IF(AE186&lt;='⚙️ SUPUESTOS'!$C$33,"✔ Recomendable","Valorar"))))</f>
        <v>✔ Recomendable</v>
      </c>
      <c r="AG186" s="79">
        <f>IF('📇 INVENTARIO'!O187="","",'📇 INVENTARIO'!O187)</f>
        <v>41.648269999999997</v>
      </c>
      <c r="AH186" s="79">
        <f>IF('📇 INVENTARIO'!P187="","",'📇 INVENTARIO'!P187)</f>
        <v>-4.7110000000000003</v>
      </c>
    </row>
    <row r="187" spans="1:34" ht="45" customHeight="1">
      <c r="A187" s="69">
        <f>IF($C187="","",RANK(O187,$O$3:$O$265,0)+COUNTIF($O$3:O187,O187)-1)</f>
        <v>185</v>
      </c>
      <c r="B187" s="70" t="str">
        <f>IF($C187="","",IF(A187&lt;='⚙️ SUPUESTOS'!$C$29,"Fase 1",IF(A187&lt;='⚙️ SUPUESTOS'!$C$30,"Fase 2","Fase 3")))</f>
        <v>Fase 3</v>
      </c>
      <c r="C187" s="71" t="str">
        <f>IF('📇 INVENTARIO'!B191="","",'📇 INVENTARIO'!B191)</f>
        <v>C/ Faisán, 21</v>
      </c>
      <c r="D187" s="70" t="str">
        <f>IF('📇 INVENTARIO'!C191="","",'📇 INVENTARIO'!C191)</f>
        <v>7923006UM5172D</v>
      </c>
      <c r="E187" s="70" t="str">
        <f>IF('📇 INVENTARIO'!D191="","",'📇 INVENTARIO'!D191)</f>
        <v>4718606025</v>
      </c>
      <c r="F187" s="70" t="str">
        <f>IF('📇 INVENTARIO'!F191="","",'📇 INVENTARIO'!F191)</f>
        <v>E</v>
      </c>
      <c r="G187" s="72">
        <f>IF('📇 INVENTARIO'!G191="","",'📇 INVENTARIO'!G191)</f>
        <v>283</v>
      </c>
      <c r="H187" s="72">
        <f>IF('📇 INVENTARIO'!H191="","",'📇 INVENTARIO'!H191)</f>
        <v>60</v>
      </c>
      <c r="I187" s="72">
        <f>IF('📇 INVENTARIO'!I191="","",'📇 INVENTARIO'!I191)</f>
        <v>150.6</v>
      </c>
      <c r="J187" s="72">
        <f>IF('📇 INVENTARIO'!J191="","",'📇 INVENTARIO'!J191)</f>
        <v>1967</v>
      </c>
      <c r="K187" s="73">
        <f>IF($C187="","",(G187-'⚙️ SUPUESTOS'!$C$20)/('⚙️ SUPUESTOS'!$C$25-'⚙️ SUPUESTOS'!$C$20))</f>
        <v>0.24096385542168675</v>
      </c>
      <c r="L187" s="73">
        <f>IF($C187="","",VLOOKUP($E187,'📊 SECCIONES'!$B$4:$S$9,16,FALSE()))</f>
        <v>0</v>
      </c>
      <c r="M187" s="73">
        <f>IF($C187="","",VLOOKUP($E187,'📊 SECCIONES'!$B$4:$S$9,17,FALSE()))</f>
        <v>0</v>
      </c>
      <c r="N187" s="73">
        <f>IF($C187="","",VLOOKUP($E187,'📊 SECCIONES'!$B$4:$S$9,18,FALSE()))</f>
        <v>0.57727272727272727</v>
      </c>
      <c r="O187" s="74">
        <f>IF($C187="","",ROUND('⚙️ SUPUESTOS'!$C$21*K187+'⚙️ SUPUESTOS'!$C$22*L187+'⚙️ SUPUESTOS'!$C$23*M187+'⚙️ SUPUESTOS'!$C$24*N187,4))</f>
        <v>0.1845</v>
      </c>
      <c r="P187" s="75">
        <f>IF($C187="","",VLOOKUP($E187,'📊 SECCIONES'!$B$4:$S$9,7,FALSE()))</f>
        <v>20.3</v>
      </c>
      <c r="Q187" s="76">
        <f>IF($C187="","",VLOOKUP($E187,'📊 SECCIONES'!$B$4:$S$9,8,FALSE()))</f>
        <v>26404</v>
      </c>
      <c r="R187" s="75">
        <f>IF($C187="","",VLOOKUP($E187,'📊 SECCIONES'!$B$4:$S$9,10,FALSE()))</f>
        <v>23.3</v>
      </c>
      <c r="S187" s="72">
        <f>IF('📇 INVENTARIO'!K191="","",'📇 INVENTARIO'!K191)</f>
        <v>6</v>
      </c>
      <c r="T187" s="77" t="str">
        <f t="shared" si="8"/>
        <v>Objetivo: alcanzar calificación C. Actual: Cal.E. SATE fachada + carpinterías doble + instalación fotovoltaica</v>
      </c>
      <c r="U187" s="70" t="str">
        <f t="shared" si="9"/>
        <v>Valorar ascensor (verificar)</v>
      </c>
      <c r="V187" s="78">
        <f>IF('📇 INVENTARIO'!L191="","",'📇 INVENTARIO'!L191)</f>
        <v>350.8</v>
      </c>
      <c r="W187" s="75">
        <f>IF($C187="","",V187*'⚙️ SUPUESTOS'!$C$8*'⚙️ SUPUESTOS'!$C$9)</f>
        <v>73.668000000000006</v>
      </c>
      <c r="X187" s="78">
        <f>IF('📇 INVENTARIO'!N191="","",'📇 INVENTARIO'!N191)</f>
        <v>1351</v>
      </c>
      <c r="Y187" s="78">
        <f>IF($C187="","",W187*X187*'⚙️ SUPUESTOS'!$C$7)</f>
        <v>89572.921200000012</v>
      </c>
      <c r="Z187" s="76">
        <f>IF($C187="","",W187*'⚙️ SUPUESTOS'!$C$10)</f>
        <v>98346.780000000013</v>
      </c>
      <c r="AA187" s="76">
        <f>IF($C187="","",Y187*('⚙️ SUPUESTOS'!$C$12*'⚙️ SUPUESTOS'!$C$11+(1-'⚙️ SUPUESTOS'!$C$12)*'⚙️ SUPUESTOS'!$C$13))</f>
        <v>6108.8732258400014</v>
      </c>
      <c r="AB187" s="76">
        <f>IF($C187="","",IF(Y187&gt;0,ROUND(Y187*'⚙️ SUPUESTOS'!$C$12*'⚙️ SUPUESTOS'!$C$11,0),""))</f>
        <v>2239</v>
      </c>
      <c r="AC187" s="76">
        <f>IF($C187="","",IF(Y187&gt;0,ROUND(Y187*(1-'⚙️ SUPUESTOS'!$C$12)*'⚙️ SUPUESTOS'!$C$13,0),""))</f>
        <v>3870</v>
      </c>
      <c r="AD187" s="65">
        <f t="shared" si="10"/>
        <v>54375</v>
      </c>
      <c r="AE187" s="64">
        <f t="shared" si="11"/>
        <v>16.099004900609444</v>
      </c>
      <c r="AF187" s="59" t="str">
        <f>IF($C187="","",IF(AE187="","—",IF(AE187&lt;='⚙️ SUPUESTOS'!$C$32,"✔ Muy recomendable",IF(AE187&lt;='⚙️ SUPUESTOS'!$C$33,"✔ Recomendable","Valorar"))))</f>
        <v>Valorar</v>
      </c>
      <c r="AG187" s="68">
        <f>IF('📇 INVENTARIO'!O188="","",'📇 INVENTARIO'!O188)</f>
        <v>41.64996</v>
      </c>
      <c r="AH187" s="68">
        <f>IF('📇 INVENTARIO'!P188="","",'📇 INVENTARIO'!P188)</f>
        <v>-4.7076900000000004</v>
      </c>
    </row>
    <row r="188" spans="1:34" ht="45" customHeight="1">
      <c r="A188" s="69">
        <f>IF($C188="","",RANK(O188,$O$3:$O$265,0)+COUNTIF($O$3:O188,O188)-1)</f>
        <v>186</v>
      </c>
      <c r="B188" s="70" t="str">
        <f>IF($C188="","",IF(A188&lt;='⚙️ SUPUESTOS'!$C$29,"Fase 1",IF(A188&lt;='⚙️ SUPUESTOS'!$C$30,"Fase 2","Fase 3")))</f>
        <v>Fase 3</v>
      </c>
      <c r="C188" s="71" t="str">
        <f>IF('📇 INVENTARIO'!B187="","",'📇 INVENTARIO'!B187)</f>
        <v>C/ Martín Pescador, 3</v>
      </c>
      <c r="D188" s="70" t="str">
        <f>IF('📇 INVENTARIO'!C187="","",'📇 INVENTARIO'!C187)</f>
        <v>7624401UM5172D</v>
      </c>
      <c r="E188" s="70" t="str">
        <f>IF('📇 INVENTARIO'!D187="","",'📇 INVENTARIO'!D187)</f>
        <v>4718606027</v>
      </c>
      <c r="F188" s="70" t="str">
        <f>IF('📇 INVENTARIO'!F187="","",'📇 INVENTARIO'!F187)</f>
        <v>E</v>
      </c>
      <c r="G188" s="72">
        <f>IF('📇 INVENTARIO'!G187="","",'📇 INVENTARIO'!G187)</f>
        <v>158</v>
      </c>
      <c r="H188" s="72">
        <f>IF('📇 INVENTARIO'!H187="","",'📇 INVENTARIO'!H187)</f>
        <v>33</v>
      </c>
      <c r="I188" s="72">
        <f>IF('📇 INVENTARIO'!I187="","",'📇 INVENTARIO'!I187)</f>
        <v>62.2</v>
      </c>
      <c r="J188" s="72">
        <f>IF('📇 INVENTARIO'!J187="","",'📇 INVENTARIO'!J187)</f>
        <v>1977</v>
      </c>
      <c r="K188" s="73">
        <f>IF($C188="","",(G188-'⚙️ SUPUESTOS'!$C$20)/('⚙️ SUPUESTOS'!$C$25-'⚙️ SUPUESTOS'!$C$20))</f>
        <v>2.5817555938037865E-2</v>
      </c>
      <c r="L188" s="73">
        <f>IF($C188="","",VLOOKUP($E188,'📊 SECCIONES'!$B$4:$S$9,16,FALSE()))</f>
        <v>0.19481959841367916</v>
      </c>
      <c r="M188" s="73">
        <f>IF($C188="","",VLOOKUP($E188,'📊 SECCIONES'!$B$4:$S$9,17,FALSE()))</f>
        <v>0.2663212435233161</v>
      </c>
      <c r="N188" s="73">
        <f>IF($C188="","",VLOOKUP($E188,'📊 SECCIONES'!$B$4:$S$9,18,FALSE()))</f>
        <v>1</v>
      </c>
      <c r="O188" s="74">
        <f>IF($C188="","",ROUND('⚙️ SUPUESTOS'!$C$21*K188+'⚙️ SUPUESTOS'!$C$22*L188+'⚙️ SUPUESTOS'!$C$23*M188+'⚙️ SUPUESTOS'!$C$24*N188,4))</f>
        <v>0.18429999999999999</v>
      </c>
      <c r="P188" s="75">
        <f>IF($C188="","",VLOOKUP($E188,'📊 SECCIONES'!$B$4:$S$9,7,FALSE()))</f>
        <v>24.5</v>
      </c>
      <c r="Q188" s="76">
        <f>IF($C188="","",VLOOKUP($E188,'📊 SECCIONES'!$B$4:$S$9,8,FALSE()))</f>
        <v>25206</v>
      </c>
      <c r="R188" s="75">
        <f>IF($C188="","",VLOOKUP($E188,'📊 SECCIONES'!$B$4:$S$9,10,FALSE()))</f>
        <v>32.6</v>
      </c>
      <c r="S188" s="72">
        <f>IF('📇 INVENTARIO'!K187="","",'📇 INVENTARIO'!K187)</f>
        <v>7</v>
      </c>
      <c r="T188" s="77" t="str">
        <f t="shared" si="8"/>
        <v>Objetivo: alcanzar calificación C. Actual: Cal.E. SATE fachada + carpinterías doble + instalación fotovoltaica</v>
      </c>
      <c r="U188" s="70" t="str">
        <f t="shared" si="9"/>
        <v>Valorar ascensor (verificar)</v>
      </c>
      <c r="V188" s="78">
        <f>IF('📇 INVENTARIO'!L187="","",'📇 INVENTARIO'!L187)</f>
        <v>927.2</v>
      </c>
      <c r="W188" s="75">
        <f>IF($C188="","",V188*'⚙️ SUPUESTOS'!$C$8*'⚙️ SUPUESTOS'!$C$9)</f>
        <v>194.71199999999999</v>
      </c>
      <c r="X188" s="78">
        <f>IF('📇 INVENTARIO'!N187="","",'📇 INVENTARIO'!N187)</f>
        <v>1469</v>
      </c>
      <c r="Y188" s="78">
        <f>IF($C188="","",W188*X188*'⚙️ SUPUESTOS'!$C$7)</f>
        <v>257428.73519999997</v>
      </c>
      <c r="Z188" s="76">
        <f>IF($C188="","",W188*'⚙️ SUPUESTOS'!$C$10)</f>
        <v>259940.52</v>
      </c>
      <c r="AA188" s="76">
        <f>IF($C188="","",Y188*('⚙️ SUPUESTOS'!$C$12*'⚙️ SUPUESTOS'!$C$11+(1-'⚙️ SUPUESTOS'!$C$12)*'⚙️ SUPUESTOS'!$C$13))</f>
        <v>17556.639740639999</v>
      </c>
      <c r="AB188" s="76">
        <f>IF($C188="","",IF(Y188&gt;0,ROUND(Y188*'⚙️ SUPUESTOS'!$C$12*'⚙️ SUPUESTOS'!$C$11,0),""))</f>
        <v>6436</v>
      </c>
      <c r="AC188" s="76">
        <f>IF($C188="","",IF(Y188&gt;0,ROUND(Y188*(1-'⚙️ SUPUESTOS'!$C$12)*'⚙️ SUPUESTOS'!$C$13,0),""))</f>
        <v>11121</v>
      </c>
      <c r="AD188" s="76">
        <f t="shared" si="10"/>
        <v>178975</v>
      </c>
      <c r="AE188" s="75">
        <f t="shared" si="11"/>
        <v>14.80582411213299</v>
      </c>
      <c r="AF188" s="70" t="str">
        <f>IF($C188="","",IF(AE188="","—",IF(AE188&lt;='⚙️ SUPUESTOS'!$C$32,"✔ Muy recomendable",IF(AE188&lt;='⚙️ SUPUESTOS'!$C$33,"✔ Recomendable","Valorar"))))</f>
        <v>✔ Muy recomendable</v>
      </c>
      <c r="AG188" s="79">
        <f>IF('📇 INVENTARIO'!O189="","",'📇 INVENTARIO'!O189)</f>
        <v>41.64875</v>
      </c>
      <c r="AH188" s="79">
        <f>IF('📇 INVENTARIO'!P189="","",'📇 INVENTARIO'!P189)</f>
        <v>-4.7062600000000003</v>
      </c>
    </row>
    <row r="189" spans="1:34" ht="45" customHeight="1">
      <c r="A189" s="69">
        <f>IF($C189="","",RANK(O189,$O$3:$O$265,0)+COUNTIF($O$3:O189,O189)-1)</f>
        <v>187</v>
      </c>
      <c r="B189" s="70" t="str">
        <f>IF($C189="","",IF(A189&lt;='⚙️ SUPUESTOS'!$C$29,"Fase 1",IF(A189&lt;='⚙️ SUPUESTOS'!$C$30,"Fase 2","Fase 3")))</f>
        <v>Fase 3</v>
      </c>
      <c r="C189" s="71" t="str">
        <f>IF('📇 INVENTARIO'!B189="","",'📇 INVENTARIO'!B189)</f>
        <v>C/ Juan Carlos I, 99</v>
      </c>
      <c r="D189" s="70" t="str">
        <f>IF('📇 INVENTARIO'!C189="","",'📇 INVENTARIO'!C189)</f>
        <v>8024002UM5182C</v>
      </c>
      <c r="E189" s="70" t="str">
        <f>IF('📇 INVENTARIO'!D189="","",'📇 INVENTARIO'!D189)</f>
        <v>4718606024</v>
      </c>
      <c r="F189" s="70" t="str">
        <f>IF('📇 INVENTARIO'!F189="","",'📇 INVENTARIO'!F189)</f>
        <v>E</v>
      </c>
      <c r="G189" s="72">
        <f>IF('📇 INVENTARIO'!G189="","",'📇 INVENTARIO'!G189)</f>
        <v>204</v>
      </c>
      <c r="H189" s="72">
        <f>IF('📇 INVENTARIO'!H189="","",'📇 INVENTARIO'!H189)</f>
        <v>70.5</v>
      </c>
      <c r="I189" s="72">
        <f>IF('📇 INVENTARIO'!I189="","",'📇 INVENTARIO'!I189)</f>
        <v>94.1</v>
      </c>
      <c r="J189" s="72">
        <f>IF('📇 INVENTARIO'!J189="","",'📇 INVENTARIO'!J189)</f>
        <v>1970</v>
      </c>
      <c r="K189" s="73">
        <f>IF($C189="","",(G189-'⚙️ SUPUESTOS'!$C$20)/('⚙️ SUPUESTOS'!$C$25-'⚙️ SUPUESTOS'!$C$20))</f>
        <v>0.10499139414802065</v>
      </c>
      <c r="L189" s="73">
        <f>IF($C189="","",VLOOKUP($E189,'📊 SECCIONES'!$B$4:$S$9,16,FALSE()))</f>
        <v>0.13391192517993736</v>
      </c>
      <c r="M189" s="73">
        <f>IF($C189="","",VLOOKUP($E189,'📊 SECCIONES'!$B$4:$S$9,17,FALSE()))</f>
        <v>0.16476683937823833</v>
      </c>
      <c r="N189" s="73">
        <f>IF($C189="","",VLOOKUP($E189,'📊 SECCIONES'!$B$4:$S$9,18,FALSE()))</f>
        <v>0.79545454545454541</v>
      </c>
      <c r="O189" s="74">
        <f>IF($C189="","",ROUND('⚙️ SUPUESTOS'!$C$21*K189+'⚙️ SUPUESTOS'!$C$22*L189+'⚙️ SUPUESTOS'!$C$23*M189+'⚙️ SUPUESTOS'!$C$24*N189,4))</f>
        <v>0.18190000000000001</v>
      </c>
      <c r="P189" s="75">
        <f>IF($C189="","",VLOOKUP($E189,'📊 SECCIONES'!$B$4:$S$9,7,FALSE()))</f>
        <v>30.06</v>
      </c>
      <c r="Q189" s="76">
        <f>IF($C189="","",VLOOKUP($E189,'📊 SECCIONES'!$B$4:$S$9,8,FALSE()))</f>
        <v>25132</v>
      </c>
      <c r="R189" s="75">
        <f>IF($C189="","",VLOOKUP($E189,'📊 SECCIONES'!$B$4:$S$9,10,FALSE()))</f>
        <v>28.1</v>
      </c>
      <c r="S189" s="72">
        <f>IF('📇 INVENTARIO'!K189="","",'📇 INVENTARIO'!K189)</f>
        <v>5</v>
      </c>
      <c r="T189" s="77" t="str">
        <f t="shared" si="8"/>
        <v>Objetivo: alcanzar calificación C. Actual: Cal.E. SATE fachada + carpinterías doble + instalación fotovoltaica</v>
      </c>
      <c r="U189" s="70" t="str">
        <f t="shared" si="9"/>
        <v>Valorar ascensor (verificar)</v>
      </c>
      <c r="V189" s="78">
        <f>IF('📇 INVENTARIO'!L189="","",'📇 INVENTARIO'!L189)</f>
        <v>693</v>
      </c>
      <c r="W189" s="75">
        <f>IF($C189="","",V189*'⚙️ SUPUESTOS'!$C$8*'⚙️ SUPUESTOS'!$C$9)</f>
        <v>145.53</v>
      </c>
      <c r="X189" s="78">
        <f>IF('📇 INVENTARIO'!N189="","",'📇 INVENTARIO'!N189)</f>
        <v>1370</v>
      </c>
      <c r="Y189" s="78">
        <f>IF($C189="","",W189*X189*'⚙️ SUPUESTOS'!$C$7)</f>
        <v>179438.49000000002</v>
      </c>
      <c r="Z189" s="76">
        <f>IF($C189="","",W189*'⚙️ SUPUESTOS'!$C$10)</f>
        <v>194282.55</v>
      </c>
      <c r="AA189" s="76">
        <f>IF($C189="","",Y189*('⚙️ SUPUESTOS'!$C$12*'⚙️ SUPUESTOS'!$C$11+(1-'⚙️ SUPUESTOS'!$C$12)*'⚙️ SUPUESTOS'!$C$13))</f>
        <v>12237.705018000002</v>
      </c>
      <c r="AB189" s="76">
        <f>IF($C189="","",IF(Y189&gt;0,ROUND(Y189*'⚙️ SUPUESTOS'!$C$12*'⚙️ SUPUESTOS'!$C$11,0),""))</f>
        <v>4486</v>
      </c>
      <c r="AC189" s="76">
        <f>IF($C189="","",IF(Y189&gt;0,ROUND(Y189*(1-'⚙️ SUPUESTOS'!$C$12)*'⚙️ SUPUESTOS'!$C$13,0),""))</f>
        <v>7752</v>
      </c>
      <c r="AD189" s="65">
        <f t="shared" si="10"/>
        <v>111660</v>
      </c>
      <c r="AE189" s="64">
        <f t="shared" si="11"/>
        <v>15.875734029725079</v>
      </c>
      <c r="AF189" s="59" t="str">
        <f>IF($C189="","",IF(AE189="","—",IF(AE189&lt;='⚙️ SUPUESTOS'!$C$32,"✔ Muy recomendable",IF(AE189&lt;='⚙️ SUPUESTOS'!$C$33,"✔ Recomendable","Valorar"))))</f>
        <v>✔ Recomendable</v>
      </c>
      <c r="AG189" s="68">
        <f>IF('📇 INVENTARIO'!O190="","",'📇 INVENTARIO'!O190)</f>
        <v>41.648499999999999</v>
      </c>
      <c r="AH189" s="68">
        <f>IF('📇 INVENTARIO'!P190="","",'📇 INVENTARIO'!P190)</f>
        <v>-4.70669</v>
      </c>
    </row>
    <row r="190" spans="1:34" ht="45" customHeight="1">
      <c r="A190" s="58">
        <f>IF($C190="","",RANK(O190,$O$3:$O$265,0)+COUNTIF($O$3:O190,O190)-1)</f>
        <v>188</v>
      </c>
      <c r="B190" s="59" t="str">
        <f>IF($C190="","",IF(A190&lt;='⚙️ SUPUESTOS'!$C$29,"Fase 1",IF(A190&lt;='⚙️ SUPUESTOS'!$C$30,"Fase 2","Fase 3")))</f>
        <v>Fase 3</v>
      </c>
      <c r="C190" s="60" t="str">
        <f>IF('📇 INVENTARIO'!B190="","",'📇 INVENTARIO'!B190)</f>
        <v>C/ Villabáñez, 33</v>
      </c>
      <c r="D190" s="59" t="str">
        <f>IF('📇 INVENTARIO'!C190="","",'📇 INVENTARIO'!C190)</f>
        <v>8024005UM5182C</v>
      </c>
      <c r="E190" s="59" t="str">
        <f>IF('📇 INVENTARIO'!D190="","",'📇 INVENTARIO'!D190)</f>
        <v>4718606024</v>
      </c>
      <c r="F190" s="59" t="str">
        <f>IF('📇 INVENTARIO'!F190="","",'📇 INVENTARIO'!F190)</f>
        <v>E</v>
      </c>
      <c r="G190" s="61">
        <f>IF('📇 INVENTARIO'!G190="","",'📇 INVENTARIO'!G190)</f>
        <v>203</v>
      </c>
      <c r="H190" s="61">
        <f>IF('📇 INVENTARIO'!H190="","",'📇 INVENTARIO'!H190)</f>
        <v>43</v>
      </c>
      <c r="I190" s="61">
        <f>IF('📇 INVENTARIO'!I190="","",'📇 INVENTARIO'!I190)</f>
        <v>83.6</v>
      </c>
      <c r="J190" s="61">
        <f>IF('📇 INVENTARIO'!J190="","",'📇 INVENTARIO'!J190)</f>
        <v>1967</v>
      </c>
      <c r="K190" s="62">
        <f>IF($C190="","",(G190-'⚙️ SUPUESTOS'!$C$20)/('⚙️ SUPUESTOS'!$C$25-'⚙️ SUPUESTOS'!$C$20))</f>
        <v>0.10327022375215146</v>
      </c>
      <c r="L190" s="62">
        <f>IF($C190="","",VLOOKUP($E190,'📊 SECCIONES'!$B$4:$S$9,16,FALSE()))</f>
        <v>0.13391192517993736</v>
      </c>
      <c r="M190" s="62">
        <f>IF($C190="","",VLOOKUP($E190,'📊 SECCIONES'!$B$4:$S$9,17,FALSE()))</f>
        <v>0.16476683937823833</v>
      </c>
      <c r="N190" s="62">
        <f>IF($C190="","",VLOOKUP($E190,'📊 SECCIONES'!$B$4:$S$9,18,FALSE()))</f>
        <v>0.79545454545454541</v>
      </c>
      <c r="O190" s="63">
        <f>IF($C190="","",ROUND('⚙️ SUPUESTOS'!$C$21*K190+'⚙️ SUPUESTOS'!$C$22*L190+'⚙️ SUPUESTOS'!$C$23*M190+'⚙️ SUPUESTOS'!$C$24*N190,4))</f>
        <v>0.18090000000000001</v>
      </c>
      <c r="P190" s="64">
        <f>IF($C190="","",VLOOKUP($E190,'📊 SECCIONES'!$B$4:$S$9,7,FALSE()))</f>
        <v>30.06</v>
      </c>
      <c r="Q190" s="65">
        <f>IF($C190="","",VLOOKUP($E190,'📊 SECCIONES'!$B$4:$S$9,8,FALSE()))</f>
        <v>25132</v>
      </c>
      <c r="R190" s="64">
        <f>IF($C190="","",VLOOKUP($E190,'📊 SECCIONES'!$B$4:$S$9,10,FALSE()))</f>
        <v>28.1</v>
      </c>
      <c r="S190" s="61">
        <f>IF('📇 INVENTARIO'!K190="","",'📇 INVENTARIO'!K190)</f>
        <v>5</v>
      </c>
      <c r="T190" s="66" t="str">
        <f t="shared" si="8"/>
        <v>Objetivo: alcanzar calificación C. Actual: Cal.E. SATE fachada + carpinterías doble + instalación fotovoltaica</v>
      </c>
      <c r="U190" s="59" t="str">
        <f t="shared" si="9"/>
        <v>Valorar ascensor (verificar)</v>
      </c>
      <c r="V190" s="67">
        <f>IF('📇 INVENTARIO'!L190="","",'📇 INVENTARIO'!L190)</f>
        <v>178.4</v>
      </c>
      <c r="W190" s="64">
        <f>IF($C190="","",V190*'⚙️ SUPUESTOS'!$C$8*'⚙️ SUPUESTOS'!$C$9)</f>
        <v>37.463999999999999</v>
      </c>
      <c r="X190" s="67">
        <f>IF('📇 INVENTARIO'!N190="","",'📇 INVENTARIO'!N190)</f>
        <v>1300</v>
      </c>
      <c r="Y190" s="67">
        <f>IF($C190="","",W190*X190*'⚙️ SUPUESTOS'!$C$7)</f>
        <v>43832.88</v>
      </c>
      <c r="Z190" s="65">
        <f>IF($C190="","",W190*'⚙️ SUPUESTOS'!$C$10)</f>
        <v>50014.439999999995</v>
      </c>
      <c r="AA190" s="65">
        <f>IF($C190="","",Y190*('⚙️ SUPUESTOS'!$C$12*'⚙️ SUPUESTOS'!$C$11+(1-'⚙️ SUPUESTOS'!$C$12)*'⚙️ SUPUESTOS'!$C$13))</f>
        <v>2989.4024160000004</v>
      </c>
      <c r="AB190" s="65">
        <f>IF($C190="","",IF(Y190&gt;0,ROUND(Y190*'⚙️ SUPUESTOS'!$C$12*'⚙️ SUPUESTOS'!$C$11,0),""))</f>
        <v>1096</v>
      </c>
      <c r="AC190" s="65">
        <f>IF($C190="","",IF(Y190&gt;0,ROUND(Y190*(1-'⚙️ SUPUESTOS'!$C$12)*'⚙️ SUPUESTOS'!$C$13,0),""))</f>
        <v>1894</v>
      </c>
      <c r="AD190" s="76">
        <f t="shared" si="10"/>
        <v>24721</v>
      </c>
      <c r="AE190" s="75">
        <f t="shared" si="11"/>
        <v>16.730581246710276</v>
      </c>
      <c r="AF190" s="70" t="str">
        <f>IF($C190="","",IF(AE190="","—",IF(AE190&lt;='⚙️ SUPUESTOS'!$C$32,"✔ Muy recomendable",IF(AE190&lt;='⚙️ SUPUESTOS'!$C$33,"✔ Recomendable","Valorar"))))</f>
        <v>Valorar</v>
      </c>
      <c r="AG190" s="79">
        <f>IF('📇 INVENTARIO'!O191="","",'📇 INVENTARIO'!O191)</f>
        <v>41.647410000000001</v>
      </c>
      <c r="AH190" s="79">
        <f>IF('📇 INVENTARIO'!P191="","",'📇 INVENTARIO'!P191)</f>
        <v>-4.7076099999999999</v>
      </c>
    </row>
    <row r="191" spans="1:34" ht="45" customHeight="1">
      <c r="A191" s="58">
        <f>IF($C191="","",RANK(O191,$O$3:$O$265,0)+COUNTIF($O$3:O191,O191)-1)</f>
        <v>189</v>
      </c>
      <c r="B191" s="59" t="str">
        <f>IF($C191="","",IF(A191&lt;='⚙️ SUPUESTOS'!$C$29,"Fase 1",IF(A191&lt;='⚙️ SUPUESTOS'!$C$30,"Fase 2","Fase 3")))</f>
        <v>Fase 3</v>
      </c>
      <c r="C191" s="60" t="str">
        <f>IF('📇 INVENTARIO'!B192="","",'📇 INVENTARIO'!B192)</f>
        <v>C/ Faisán, 22</v>
      </c>
      <c r="D191" s="59" t="str">
        <f>IF('📇 INVENTARIO'!C192="","",'📇 INVENTARIO'!C192)</f>
        <v>7922510UM5172B</v>
      </c>
      <c r="E191" s="59" t="str">
        <f>IF('📇 INVENTARIO'!D192="","",'📇 INVENTARIO'!D192)</f>
        <v>4718606025</v>
      </c>
      <c r="F191" s="59" t="str">
        <f>IF('📇 INVENTARIO'!F192="","",'📇 INVENTARIO'!F192)</f>
        <v>E</v>
      </c>
      <c r="G191" s="61">
        <f>IF('📇 INVENTARIO'!G192="","",'📇 INVENTARIO'!G192)</f>
        <v>279</v>
      </c>
      <c r="H191" s="61">
        <f>IF('📇 INVENTARIO'!H192="","",'📇 INVENTARIO'!H192)</f>
        <v>59</v>
      </c>
      <c r="I191" s="61">
        <f>IF('📇 INVENTARIO'!I192="","",'📇 INVENTARIO'!I192)</f>
        <v>139.4</v>
      </c>
      <c r="J191" s="61">
        <f>IF('📇 INVENTARIO'!J192="","",'📇 INVENTARIO'!J192)</f>
        <v>1969</v>
      </c>
      <c r="K191" s="62">
        <f>IF($C191="","",(G191-'⚙️ SUPUESTOS'!$C$20)/('⚙️ SUPUESTOS'!$C$25-'⚙️ SUPUESTOS'!$C$20))</f>
        <v>0.23407917383820998</v>
      </c>
      <c r="L191" s="62">
        <f>IF($C191="","",VLOOKUP($E191,'📊 SECCIONES'!$B$4:$S$9,16,FALSE()))</f>
        <v>0</v>
      </c>
      <c r="M191" s="62">
        <f>IF($C191="","",VLOOKUP($E191,'📊 SECCIONES'!$B$4:$S$9,17,FALSE()))</f>
        <v>0</v>
      </c>
      <c r="N191" s="62">
        <f>IF($C191="","",VLOOKUP($E191,'📊 SECCIONES'!$B$4:$S$9,18,FALSE()))</f>
        <v>0.57727272727272727</v>
      </c>
      <c r="O191" s="63">
        <f>IF($C191="","",ROUND('⚙️ SUPUESTOS'!$C$21*K191+'⚙️ SUPUESTOS'!$C$22*L191+'⚙️ SUPUESTOS'!$C$23*M191+'⚙️ SUPUESTOS'!$C$24*N191,4))</f>
        <v>0.1807</v>
      </c>
      <c r="P191" s="64">
        <f>IF($C191="","",VLOOKUP($E191,'📊 SECCIONES'!$B$4:$S$9,7,FALSE()))</f>
        <v>20.3</v>
      </c>
      <c r="Q191" s="65">
        <f>IF($C191="","",VLOOKUP($E191,'📊 SECCIONES'!$B$4:$S$9,8,FALSE()))</f>
        <v>26404</v>
      </c>
      <c r="R191" s="64">
        <f>IF($C191="","",VLOOKUP($E191,'📊 SECCIONES'!$B$4:$S$9,10,FALSE()))</f>
        <v>23.3</v>
      </c>
      <c r="S191" s="61">
        <f>IF('📇 INVENTARIO'!K192="","",'📇 INVENTARIO'!K192)</f>
        <v>5</v>
      </c>
      <c r="T191" s="66" t="str">
        <f t="shared" si="8"/>
        <v>Objetivo: alcanzar calificación C. Actual: Cal.E. SATE fachada + carpinterías doble + instalación fotovoltaica</v>
      </c>
      <c r="U191" s="59" t="str">
        <f t="shared" si="9"/>
        <v>Valorar ascensor (verificar)</v>
      </c>
      <c r="V191" s="67">
        <f>IF('📇 INVENTARIO'!L192="","",'📇 INVENTARIO'!L192)</f>
        <v>563.4</v>
      </c>
      <c r="W191" s="64">
        <f>IF($C191="","",V191*'⚙️ SUPUESTOS'!$C$8*'⚙️ SUPUESTOS'!$C$9)</f>
        <v>118.31399999999999</v>
      </c>
      <c r="X191" s="67">
        <f>IF('📇 INVENTARIO'!N192="","",'📇 INVENTARIO'!N192)</f>
        <v>1270</v>
      </c>
      <c r="Y191" s="67">
        <f>IF($C191="","",W191*X191*'⚙️ SUPUESTOS'!$C$7)</f>
        <v>135232.902</v>
      </c>
      <c r="Z191" s="65">
        <f>IF($C191="","",W191*'⚙️ SUPUESTOS'!$C$10)</f>
        <v>157949.19</v>
      </c>
      <c r="AA191" s="65">
        <f>IF($C191="","",Y191*('⚙️ SUPUESTOS'!$C$12*'⚙️ SUPUESTOS'!$C$11+(1-'⚙️ SUPUESTOS'!$C$12)*'⚙️ SUPUESTOS'!$C$13))</f>
        <v>9222.8839164000019</v>
      </c>
      <c r="AB191" s="65">
        <f>IF($C191="","",IF(Y191&gt;0,ROUND(Y191*'⚙️ SUPUESTOS'!$C$12*'⚙️ SUPUESTOS'!$C$11,0),""))</f>
        <v>3381</v>
      </c>
      <c r="AC191" s="65">
        <f>IF($C191="","",IF(Y191&gt;0,ROUND(Y191*(1-'⚙️ SUPUESTOS'!$C$12)*'⚙️ SUPUESTOS'!$C$13,0),""))</f>
        <v>5842</v>
      </c>
      <c r="AD191" s="65">
        <f t="shared" si="10"/>
        <v>72623</v>
      </c>
      <c r="AE191" s="64">
        <f t="shared" si="11"/>
        <v>17.125791827341228</v>
      </c>
      <c r="AF191" s="59" t="str">
        <f>IF($C191="","",IF(AE191="","—",IF(AE191&lt;='⚙️ SUPUESTOS'!$C$32,"✔ Muy recomendable",IF(AE191&lt;='⚙️ SUPUESTOS'!$C$33,"✔ Recomendable","Valorar"))))</f>
        <v>Valorar</v>
      </c>
      <c r="AG191" s="68">
        <f>IF('📇 INVENTARIO'!O192="","",'📇 INVENTARIO'!O192)</f>
        <v>41.647080000000003</v>
      </c>
      <c r="AH191" s="68">
        <f>IF('📇 INVENTARIO'!P192="","",'📇 INVENTARIO'!P192)</f>
        <v>-4.7072200000000004</v>
      </c>
    </row>
    <row r="192" spans="1:34" ht="45" customHeight="1">
      <c r="A192" s="69">
        <f>IF($C192="","",RANK(O192,$O$3:$O$265,0)+COUNTIF($O$3:O192,O192)-1)</f>
        <v>190</v>
      </c>
      <c r="B192" s="70" t="str">
        <f>IF($C192="","",IF(A192&lt;='⚙️ SUPUESTOS'!$C$29,"Fase 1",IF(A192&lt;='⚙️ SUPUESTOS'!$C$30,"Fase 2","Fase 3")))</f>
        <v>Fase 3</v>
      </c>
      <c r="C192" s="71" t="str">
        <f>IF('📇 INVENTARIO'!B193="","",'📇 INVENTARIO'!B193)</f>
        <v>C/ Faisán, 19</v>
      </c>
      <c r="D192" s="70" t="str">
        <f>IF('📇 INVENTARIO'!C193="","",'📇 INVENTARIO'!C193)</f>
        <v>7923007UM5172D</v>
      </c>
      <c r="E192" s="70" t="str">
        <f>IF('📇 INVENTARIO'!D193="","",'📇 INVENTARIO'!D193)</f>
        <v>4718606025</v>
      </c>
      <c r="F192" s="70" t="str">
        <f>IF('📇 INVENTARIO'!F193="","",'📇 INVENTARIO'!F193)</f>
        <v>E</v>
      </c>
      <c r="G192" s="72">
        <f>IF('📇 INVENTARIO'!G193="","",'📇 INVENTARIO'!G193)</f>
        <v>278</v>
      </c>
      <c r="H192" s="72">
        <f>IF('📇 INVENTARIO'!H193="","",'📇 INVENTARIO'!H193)</f>
        <v>58.5</v>
      </c>
      <c r="I192" s="72">
        <f>IF('📇 INVENTARIO'!I193="","",'📇 INVENTARIO'!I193)</f>
        <v>137.80000000000001</v>
      </c>
      <c r="J192" s="72">
        <f>IF('📇 INVENTARIO'!J193="","",'📇 INVENTARIO'!J193)</f>
        <v>1967</v>
      </c>
      <c r="K192" s="73">
        <f>IF($C192="","",(G192-'⚙️ SUPUESTOS'!$C$20)/('⚙️ SUPUESTOS'!$C$25-'⚙️ SUPUESTOS'!$C$20))</f>
        <v>0.23235800344234078</v>
      </c>
      <c r="L192" s="73">
        <f>IF($C192="","",VLOOKUP($E192,'📊 SECCIONES'!$B$4:$S$9,16,FALSE()))</f>
        <v>0</v>
      </c>
      <c r="M192" s="73">
        <f>IF($C192="","",VLOOKUP($E192,'📊 SECCIONES'!$B$4:$S$9,17,FALSE()))</f>
        <v>0</v>
      </c>
      <c r="N192" s="73">
        <f>IF($C192="","",VLOOKUP($E192,'📊 SECCIONES'!$B$4:$S$9,18,FALSE()))</f>
        <v>0.57727272727272727</v>
      </c>
      <c r="O192" s="74">
        <f>IF($C192="","",ROUND('⚙️ SUPUESTOS'!$C$21*K192+'⚙️ SUPUESTOS'!$C$22*L192+'⚙️ SUPUESTOS'!$C$23*M192+'⚙️ SUPUESTOS'!$C$24*N192,4))</f>
        <v>0.17979999999999999</v>
      </c>
      <c r="P192" s="75">
        <f>IF($C192="","",VLOOKUP($E192,'📊 SECCIONES'!$B$4:$S$9,7,FALSE()))</f>
        <v>20.3</v>
      </c>
      <c r="Q192" s="76">
        <f>IF($C192="","",VLOOKUP($E192,'📊 SECCIONES'!$B$4:$S$9,8,FALSE()))</f>
        <v>26404</v>
      </c>
      <c r="R192" s="75">
        <f>IF($C192="","",VLOOKUP($E192,'📊 SECCIONES'!$B$4:$S$9,10,FALSE()))</f>
        <v>23.3</v>
      </c>
      <c r="S192" s="72">
        <f>IF('📇 INVENTARIO'!K193="","",'📇 INVENTARIO'!K193)</f>
        <v>6</v>
      </c>
      <c r="T192" s="77" t="str">
        <f t="shared" si="8"/>
        <v>Objetivo: alcanzar calificación C. Actual: Cal.E. SATE fachada + carpinterías doble + instalación fotovoltaica</v>
      </c>
      <c r="U192" s="70" t="str">
        <f t="shared" si="9"/>
        <v>Valorar ascensor (verificar)</v>
      </c>
      <c r="V192" s="78">
        <f>IF('📇 INVENTARIO'!L193="","",'📇 INVENTARIO'!L193)</f>
        <v>367.4</v>
      </c>
      <c r="W192" s="75">
        <f>IF($C192="","",V192*'⚙️ SUPUESTOS'!$C$8*'⚙️ SUPUESTOS'!$C$9)</f>
        <v>77.153999999999996</v>
      </c>
      <c r="X192" s="78">
        <f>IF('📇 INVENTARIO'!N193="","",'📇 INVENTARIO'!N193)</f>
        <v>1375</v>
      </c>
      <c r="Y192" s="78">
        <f>IF($C192="","",W192*X192*'⚙️ SUPUESTOS'!$C$7)</f>
        <v>95478.074999999997</v>
      </c>
      <c r="Z192" s="76">
        <f>IF($C192="","",W192*'⚙️ SUPUESTOS'!$C$10)</f>
        <v>103000.59</v>
      </c>
      <c r="AA192" s="76">
        <f>IF($C192="","",Y192*('⚙️ SUPUESTOS'!$C$12*'⚙️ SUPUESTOS'!$C$11+(1-'⚙️ SUPUESTOS'!$C$12)*'⚙️ SUPUESTOS'!$C$13))</f>
        <v>6511.6047150000004</v>
      </c>
      <c r="AB192" s="76">
        <f>IF($C192="","",IF(Y192&gt;0,ROUND(Y192*'⚙️ SUPUESTOS'!$C$12*'⚙️ SUPUESTOS'!$C$11,0),""))</f>
        <v>2387</v>
      </c>
      <c r="AC192" s="76">
        <f>IF($C192="","",IF(Y192&gt;0,ROUND(Y192*(1-'⚙️ SUPUESTOS'!$C$12)*'⚙️ SUPUESTOS'!$C$13,0),""))</f>
        <v>4125</v>
      </c>
      <c r="AD192" s="76">
        <f t="shared" si="10"/>
        <v>59790</v>
      </c>
      <c r="AE192" s="75">
        <f t="shared" si="11"/>
        <v>15.818004087798808</v>
      </c>
      <c r="AF192" s="70" t="str">
        <f>IF($C192="","",IF(AE192="","—",IF(AE192&lt;='⚙️ SUPUESTOS'!$C$32,"✔ Muy recomendable",IF(AE192&lt;='⚙️ SUPUESTOS'!$C$33,"✔ Recomendable","Valorar"))))</f>
        <v>✔ Recomendable</v>
      </c>
      <c r="AG192" s="79">
        <f>IF('📇 INVENTARIO'!O193="","",'📇 INVENTARIO'!O193)</f>
        <v>41.647500000000001</v>
      </c>
      <c r="AH192" s="79">
        <f>IF('📇 INVENTARIO'!P193="","",'📇 INVENTARIO'!P193)</f>
        <v>-4.7077999999999998</v>
      </c>
    </row>
    <row r="193" spans="1:34" ht="45" customHeight="1">
      <c r="A193" s="58">
        <f>IF($C193="","",RANK(O193,$O$3:$O$265,0)+COUNTIF($O$3:O193,O193)-1)</f>
        <v>191</v>
      </c>
      <c r="B193" s="59" t="str">
        <f>IF($C193="","",IF(A193&lt;='⚙️ SUPUESTOS'!$C$29,"Fase 1",IF(A193&lt;='⚙️ SUPUESTOS'!$C$30,"Fase 2","Fase 3")))</f>
        <v>Fase 3</v>
      </c>
      <c r="C193" s="60" t="str">
        <f>IF('📇 INVENTARIO'!B194="","",'📇 INVENTARIO'!B194)</f>
        <v>C/ Tordo, 5</v>
      </c>
      <c r="D193" s="59" t="str">
        <f>IF('📇 INVENTARIO'!C194="","",'📇 INVENTARIO'!C194)</f>
        <v>8025207UM5182E</v>
      </c>
      <c r="E193" s="59" t="str">
        <f>IF('📇 INVENTARIO'!D194="","",'📇 INVENTARIO'!D194)</f>
        <v>4718606024</v>
      </c>
      <c r="F193" s="59" t="str">
        <f>IF('📇 INVENTARIO'!F194="","",'📇 INVENTARIO'!F194)</f>
        <v>E</v>
      </c>
      <c r="G193" s="61">
        <f>IF('📇 INVENTARIO'!G194="","",'📇 INVENTARIO'!G194)</f>
        <v>196</v>
      </c>
      <c r="H193" s="61">
        <f>IF('📇 INVENTARIO'!H194="","",'📇 INVENTARIO'!H194)</f>
        <v>41</v>
      </c>
      <c r="I193" s="61">
        <f>IF('📇 INVENTARIO'!I194="","",'📇 INVENTARIO'!I194)</f>
        <v>101</v>
      </c>
      <c r="J193" s="61">
        <f>IF('📇 INVENTARIO'!J194="","",'📇 INVENTARIO'!J194)</f>
        <v>1979</v>
      </c>
      <c r="K193" s="62">
        <f>IF($C193="","",(G193-'⚙️ SUPUESTOS'!$C$20)/('⚙️ SUPUESTOS'!$C$25-'⚙️ SUPUESTOS'!$C$20))</f>
        <v>9.1222030981067126E-2</v>
      </c>
      <c r="L193" s="62">
        <f>IF($C193="","",VLOOKUP($E193,'📊 SECCIONES'!$B$4:$S$9,16,FALSE()))</f>
        <v>0.13391192517993736</v>
      </c>
      <c r="M193" s="62">
        <f>IF($C193="","",VLOOKUP($E193,'📊 SECCIONES'!$B$4:$S$9,17,FALSE()))</f>
        <v>0.16476683937823833</v>
      </c>
      <c r="N193" s="62">
        <f>IF($C193="","",VLOOKUP($E193,'📊 SECCIONES'!$B$4:$S$9,18,FALSE()))</f>
        <v>0.79545454545454541</v>
      </c>
      <c r="O193" s="63">
        <f>IF($C193="","",ROUND('⚙️ SUPUESTOS'!$C$21*K193+'⚙️ SUPUESTOS'!$C$22*L193+'⚙️ SUPUESTOS'!$C$23*M193+'⚙️ SUPUESTOS'!$C$24*N193,4))</f>
        <v>0.17430000000000001</v>
      </c>
      <c r="P193" s="64">
        <f>IF($C193="","",VLOOKUP($E193,'📊 SECCIONES'!$B$4:$S$9,7,FALSE()))</f>
        <v>30.06</v>
      </c>
      <c r="Q193" s="65">
        <f>IF($C193="","",VLOOKUP($E193,'📊 SECCIONES'!$B$4:$S$9,8,FALSE()))</f>
        <v>25132</v>
      </c>
      <c r="R193" s="64">
        <f>IF($C193="","",VLOOKUP($E193,'📊 SECCIONES'!$B$4:$S$9,10,FALSE()))</f>
        <v>28.1</v>
      </c>
      <c r="S193" s="61">
        <f>IF('📇 INVENTARIO'!K194="","",'📇 INVENTARIO'!K194)</f>
        <v>5</v>
      </c>
      <c r="T193" s="66" t="str">
        <f t="shared" si="8"/>
        <v>Objetivo: alcanzar calificación C. Actual: Cal.E. SATE fachada + carpinterías doble + instalación fotovoltaica</v>
      </c>
      <c r="U193" s="59" t="str">
        <f t="shared" si="9"/>
        <v>Valorar ascensor (verificar)</v>
      </c>
      <c r="V193" s="67">
        <f>IF('📇 INVENTARIO'!L194="","",'📇 INVENTARIO'!L194)</f>
        <v>243.8</v>
      </c>
      <c r="W193" s="64">
        <f>IF($C193="","",V193*'⚙️ SUPUESTOS'!$C$8*'⚙️ SUPUESTOS'!$C$9)</f>
        <v>51.198</v>
      </c>
      <c r="X193" s="67">
        <f>IF('📇 INVENTARIO'!N194="","",'📇 INVENTARIO'!N194)</f>
        <v>1317</v>
      </c>
      <c r="Y193" s="67">
        <f>IF($C193="","",W193*X193*'⚙️ SUPUESTOS'!$C$7)</f>
        <v>60684.989400000006</v>
      </c>
      <c r="Z193" s="65">
        <f>IF($C193="","",W193*'⚙️ SUPUESTOS'!$C$10)</f>
        <v>68349.33</v>
      </c>
      <c r="AA193" s="65">
        <f>IF($C193="","",Y193*('⚙️ SUPUESTOS'!$C$12*'⚙️ SUPUESTOS'!$C$11+(1-'⚙️ SUPUESTOS'!$C$12)*'⚙️ SUPUESTOS'!$C$13))</f>
        <v>4138.7162770800014</v>
      </c>
      <c r="AB193" s="65">
        <f>IF($C193="","",IF(Y193&gt;0,ROUND(Y193*'⚙️ SUPUESTOS'!$C$12*'⚙️ SUPUESTOS'!$C$11,0),""))</f>
        <v>1517</v>
      </c>
      <c r="AC193" s="65">
        <f>IF($C193="","",IF(Y193&gt;0,ROUND(Y193*(1-'⚙️ SUPUESTOS'!$C$12)*'⚙️ SUPUESTOS'!$C$13,0),""))</f>
        <v>2622</v>
      </c>
      <c r="AD193" s="65">
        <f t="shared" si="10"/>
        <v>35119</v>
      </c>
      <c r="AE193" s="64">
        <f t="shared" si="11"/>
        <v>16.514620820594804</v>
      </c>
      <c r="AF193" s="59" t="str">
        <f>IF($C193="","",IF(AE193="","—",IF(AE193&lt;='⚙️ SUPUESTOS'!$C$32,"✔ Muy recomendable",IF(AE193&lt;='⚙️ SUPUESTOS'!$C$33,"✔ Recomendable","Valorar"))))</f>
        <v>Valorar</v>
      </c>
      <c r="AG193" s="68">
        <f>IF('📇 INVENTARIO'!O194="","",'📇 INVENTARIO'!O194)</f>
        <v>41.649729999999998</v>
      </c>
      <c r="AH193" s="68">
        <f>IF('📇 INVENTARIO'!P194="","",'📇 INVENTARIO'!P194)</f>
        <v>-4.7065999999999999</v>
      </c>
    </row>
    <row r="194" spans="1:34" ht="45" customHeight="1">
      <c r="A194" s="69">
        <f>IF($C194="","",RANK(O194,$O$3:$O$265,0)+COUNTIF($O$3:O194,O194)-1)</f>
        <v>192</v>
      </c>
      <c r="B194" s="70" t="str">
        <f>IF($C194="","",IF(A194&lt;='⚙️ SUPUESTOS'!$C$29,"Fase 1",IF(A194&lt;='⚙️ SUPUESTOS'!$C$30,"Fase 2","Fase 3")))</f>
        <v>Fase 3</v>
      </c>
      <c r="C194" s="71" t="str">
        <f>IF('📇 INVENTARIO'!B195="","",'📇 INVENTARIO'!B195)</f>
        <v>C/ Águila, 2</v>
      </c>
      <c r="D194" s="70" t="str">
        <f>IF('📇 INVENTARIO'!C195="","",'📇 INVENTARIO'!C195)</f>
        <v>7723409UM5172D</v>
      </c>
      <c r="E194" s="70" t="str">
        <f>IF('📇 INVENTARIO'!D195="","",'📇 INVENTARIO'!D195)</f>
        <v>4718606028</v>
      </c>
      <c r="F194" s="70" t="str">
        <f>IF('📇 INVENTARIO'!F195="","",'📇 INVENTARIO'!F195)</f>
        <v>E</v>
      </c>
      <c r="G194" s="72">
        <f>IF('📇 INVENTARIO'!G195="","",'📇 INVENTARIO'!G195)</f>
        <v>148</v>
      </c>
      <c r="H194" s="72">
        <f>IF('📇 INVENTARIO'!H195="","",'📇 INVENTARIO'!H195)</f>
        <v>31</v>
      </c>
      <c r="I194" s="72">
        <f>IF('📇 INVENTARIO'!I195="","",'📇 INVENTARIO'!I195)</f>
        <v>100.1</v>
      </c>
      <c r="J194" s="72">
        <f>IF('📇 INVENTARIO'!J195="","",'📇 INVENTARIO'!J195)</f>
        <v>1969</v>
      </c>
      <c r="K194" s="73">
        <f>IF($C194="","",(G194-'⚙️ SUPUESTOS'!$C$20)/('⚙️ SUPUESTOS'!$C$25-'⚙️ SUPUESTOS'!$C$20))</f>
        <v>8.6058519793459545E-3</v>
      </c>
      <c r="L194" s="73">
        <f>IF($C194="","",VLOOKUP($E194,'📊 SECCIONES'!$B$4:$S$9,16,FALSE()))</f>
        <v>0.24395028956990591</v>
      </c>
      <c r="M194" s="73">
        <f>IF($C194="","",VLOOKUP($E194,'📊 SECCIONES'!$B$4:$S$9,17,FALSE()))</f>
        <v>0.34507772020725386</v>
      </c>
      <c r="N194" s="73">
        <f>IF($C194="","",VLOOKUP($E194,'📊 SECCIONES'!$B$4:$S$9,18,FALSE()))</f>
        <v>0.70909090909090911</v>
      </c>
      <c r="O194" s="74">
        <f>IF($C194="","",ROUND('⚙️ SUPUESTOS'!$C$21*K194+'⚙️ SUPUESTOS'!$C$22*L194+'⚙️ SUPUESTOS'!$C$23*M194+'⚙️ SUPUESTOS'!$C$24*N194,4))</f>
        <v>0.17050000000000001</v>
      </c>
      <c r="P194" s="75">
        <f>IF($C194="","",VLOOKUP($E194,'📊 SECCIONES'!$B$4:$S$9,7,FALSE()))</f>
        <v>29.81</v>
      </c>
      <c r="Q194" s="76">
        <f>IF($C194="","",VLOOKUP($E194,'📊 SECCIONES'!$B$4:$S$9,8,FALSE()))</f>
        <v>23665</v>
      </c>
      <c r="R194" s="75">
        <f>IF($C194="","",VLOOKUP($E194,'📊 SECCIONES'!$B$4:$S$9,10,FALSE()))</f>
        <v>26.2</v>
      </c>
      <c r="S194" s="72">
        <f>IF('📇 INVENTARIO'!K195="","",'📇 INVENTARIO'!K195)</f>
        <v>6</v>
      </c>
      <c r="T194" s="77" t="str">
        <f t="shared" si="8"/>
        <v>Objetivo: alcanzar calificación C. Actual: Cal.E. SATE fachada + carpinterías doble + instalación fotovoltaica</v>
      </c>
      <c r="U194" s="70" t="str">
        <f t="shared" si="9"/>
        <v>Valorar ascensor (verificar)</v>
      </c>
      <c r="V194" s="78">
        <f>IF('📇 INVENTARIO'!L195="","",'📇 INVENTARIO'!L195)</f>
        <v>271.7</v>
      </c>
      <c r="W194" s="75">
        <f>IF($C194="","",V194*'⚙️ SUPUESTOS'!$C$8*'⚙️ SUPUESTOS'!$C$9)</f>
        <v>57.056999999999995</v>
      </c>
      <c r="X194" s="78">
        <f>IF('📇 INVENTARIO'!N195="","",'📇 INVENTARIO'!N195)</f>
        <v>1496</v>
      </c>
      <c r="Y194" s="78">
        <f>IF($C194="","",W194*X194*'⚙️ SUPUESTOS'!$C$7)</f>
        <v>76821.544800000003</v>
      </c>
      <c r="Z194" s="76">
        <f>IF($C194="","",W194*'⚙️ SUPUESTOS'!$C$10)</f>
        <v>76171.094999999987</v>
      </c>
      <c r="AA194" s="76">
        <f>IF($C194="","",Y194*('⚙️ SUPUESTOS'!$C$12*'⚙️ SUPUESTOS'!$C$11+(1-'⚙️ SUPUESTOS'!$C$12)*'⚙️ SUPUESTOS'!$C$13))</f>
        <v>5239.2293553600011</v>
      </c>
      <c r="AB194" s="76">
        <f>IF($C194="","",IF(Y194&gt;0,ROUND(Y194*'⚙️ SUPUESTOS'!$C$12*'⚙️ SUPUESTOS'!$C$11,0),""))</f>
        <v>1921</v>
      </c>
      <c r="AC194" s="76">
        <f>IF($C194="","",IF(Y194&gt;0,ROUND(Y194*(1-'⚙️ SUPUESTOS'!$C$12)*'⚙️ SUPUESTOS'!$C$13,0),""))</f>
        <v>3319</v>
      </c>
      <c r="AD194" s="76">
        <f t="shared" si="10"/>
        <v>54810</v>
      </c>
      <c r="AE194" s="75">
        <f t="shared" si="11"/>
        <v>14.538606698344488</v>
      </c>
      <c r="AF194" s="70" t="str">
        <f>IF($C194="","",IF(AE194="","—",IF(AE194&lt;='⚙️ SUPUESTOS'!$C$32,"✔ Muy recomendable",IF(AE194&lt;='⚙️ SUPUESTOS'!$C$33,"✔ Recomendable","Valorar"))))</f>
        <v>✔ Muy recomendable</v>
      </c>
      <c r="AG194" s="79">
        <f>IF('📇 INVENTARIO'!O195="","",'📇 INVENTARIO'!O195)</f>
        <v>41.647390000000001</v>
      </c>
      <c r="AH194" s="79">
        <f>IF('📇 INVENTARIO'!P195="","",'📇 INVENTARIO'!P195)</f>
        <v>-4.7102599999999999</v>
      </c>
    </row>
    <row r="195" spans="1:34" ht="45" customHeight="1">
      <c r="A195" s="58">
        <f>IF($C195="","",RANK(O195,$O$3:$O$265,0)+COUNTIF($O$3:O195,O195)-1)</f>
        <v>193</v>
      </c>
      <c r="B195" s="59" t="str">
        <f>IF($C195="","",IF(A195&lt;='⚙️ SUPUESTOS'!$C$29,"Fase 1",IF(A195&lt;='⚙️ SUPUESTOS'!$C$30,"Fase 2","Fase 3")))</f>
        <v>Fase 3</v>
      </c>
      <c r="C195" s="60" t="str">
        <f>IF('📇 INVENTARIO'!B196="","",'📇 INVENTARIO'!B196)</f>
        <v>C/ Pelícano, 17</v>
      </c>
      <c r="D195" s="59" t="str">
        <f>IF('📇 INVENTARIO'!C196="","",'📇 INVENTARIO'!C196)</f>
        <v>7922503UM5172B</v>
      </c>
      <c r="E195" s="59" t="str">
        <f>IF('📇 INVENTARIO'!D196="","",'📇 INVENTARIO'!D196)</f>
        <v>4718606025</v>
      </c>
      <c r="F195" s="59" t="str">
        <f>IF('📇 INVENTARIO'!F196="","",'📇 INVENTARIO'!F196)</f>
        <v>E</v>
      </c>
      <c r="G195" s="61">
        <f>IF('📇 INVENTARIO'!G196="","",'📇 INVENTARIO'!G196)</f>
        <v>260</v>
      </c>
      <c r="H195" s="61">
        <f>IF('📇 INVENTARIO'!H196="","",'📇 INVENTARIO'!H196)</f>
        <v>66</v>
      </c>
      <c r="I195" s="61">
        <f>IF('📇 INVENTARIO'!I196="","",'📇 INVENTARIO'!I196)</f>
        <v>130.30000000000001</v>
      </c>
      <c r="J195" s="61">
        <f>IF('📇 INVENTARIO'!J196="","",'📇 INVENTARIO'!J196)</f>
        <v>1976</v>
      </c>
      <c r="K195" s="62">
        <f>IF($C195="","",(G195-'⚙️ SUPUESTOS'!$C$20)/('⚙️ SUPUESTOS'!$C$25-'⚙️ SUPUESTOS'!$C$20))</f>
        <v>0.20137693631669534</v>
      </c>
      <c r="L195" s="62">
        <f>IF($C195="","",VLOOKUP($E195,'📊 SECCIONES'!$B$4:$S$9,16,FALSE()))</f>
        <v>0</v>
      </c>
      <c r="M195" s="62">
        <f>IF($C195="","",VLOOKUP($E195,'📊 SECCIONES'!$B$4:$S$9,17,FALSE()))</f>
        <v>0</v>
      </c>
      <c r="N195" s="62">
        <f>IF($C195="","",VLOOKUP($E195,'📊 SECCIONES'!$B$4:$S$9,18,FALSE()))</f>
        <v>0.57727272727272727</v>
      </c>
      <c r="O195" s="63">
        <f>IF($C195="","",ROUND('⚙️ SUPUESTOS'!$C$21*K195+'⚙️ SUPUESTOS'!$C$22*L195+'⚙️ SUPUESTOS'!$C$23*M195+'⚙️ SUPUESTOS'!$C$24*N195,4))</f>
        <v>0.16270000000000001</v>
      </c>
      <c r="P195" s="64">
        <f>IF($C195="","",VLOOKUP($E195,'📊 SECCIONES'!$B$4:$S$9,7,FALSE()))</f>
        <v>20.3</v>
      </c>
      <c r="Q195" s="65">
        <f>IF($C195="","",VLOOKUP($E195,'📊 SECCIONES'!$B$4:$S$9,8,FALSE()))</f>
        <v>26404</v>
      </c>
      <c r="R195" s="64">
        <f>IF($C195="","",VLOOKUP($E195,'📊 SECCIONES'!$B$4:$S$9,10,FALSE()))</f>
        <v>23.3</v>
      </c>
      <c r="S195" s="61">
        <f>IF('📇 INVENTARIO'!K196="","",'📇 INVENTARIO'!K196)</f>
        <v>12</v>
      </c>
      <c r="T195" s="66" t="str">
        <f t="shared" ref="T195:T258" si="12">IF($C195="","","Objetivo: alcanzar calificación C. Actual: Cal."&amp;F195&amp;". "&amp;IF(OR(F195="G",F195="F"),"SATE integral + cubierta + carpinterías triple + aerotermia + instalación fotovoltaica",IF(F195="E","SATE fachada + carpinterías doble + instalación fotovoltaica",IF(F195="D","Mantenimiento de envolvente + instalación fotovoltaica en cubierta","Optimización energética + instalación fotovoltaica"))))</f>
        <v>Objetivo: alcanzar calificación C. Actual: Cal.E. SATE fachada + carpinterías doble + instalación fotovoltaica</v>
      </c>
      <c r="U195" s="59" t="str">
        <f t="shared" ref="U195:U258" si="13">IF($C195="","",IF(S195=0,"s/d",IF(S195&gt;=4,"Valorar ascensor (verificar)","—")))</f>
        <v>Valorar ascensor (verificar)</v>
      </c>
      <c r="V195" s="67">
        <f>IF('📇 INVENTARIO'!L196="","",'📇 INVENTARIO'!L196)</f>
        <v>680.7</v>
      </c>
      <c r="W195" s="64">
        <f>IF($C195="","",V195*'⚙️ SUPUESTOS'!$C$8*'⚙️ SUPUESTOS'!$C$9)</f>
        <v>142.947</v>
      </c>
      <c r="X195" s="67">
        <f>IF('📇 INVENTARIO'!N196="","",'📇 INVENTARIO'!N196)</f>
        <v>1230</v>
      </c>
      <c r="Y195" s="67">
        <f>IF($C195="","",W195*X195*'⚙️ SUPUESTOS'!$C$7)</f>
        <v>158242.329</v>
      </c>
      <c r="Z195" s="65">
        <f>IF($C195="","",W195*'⚙️ SUPUESTOS'!$C$10)</f>
        <v>190834.245</v>
      </c>
      <c r="AA195" s="65">
        <f>IF($C195="","",Y195*('⚙️ SUPUESTOS'!$C$12*'⚙️ SUPUESTOS'!$C$11+(1-'⚙️ SUPUESTOS'!$C$12)*'⚙️ SUPUESTOS'!$C$13))</f>
        <v>10792.126837800002</v>
      </c>
      <c r="AB195" s="65">
        <f>IF($C195="","",IF(Y195&gt;0,ROUND(Y195*'⚙️ SUPUESTOS'!$C$12*'⚙️ SUPUESTOS'!$C$11,0),""))</f>
        <v>3956</v>
      </c>
      <c r="AC195" s="65">
        <f>IF($C195="","",IF(Y195&gt;0,ROUND(Y195*(1-'⚙️ SUPUESTOS'!$C$12)*'⚙️ SUPUESTOS'!$C$13,0),""))</f>
        <v>6836</v>
      </c>
      <c r="AD195" s="65">
        <f t="shared" ref="AD195:AD258" si="14">IF($C195="","",IF(AND(ISNUMBER(AA195),ISNUMBER(AE195),AA195&gt;0,AE195&gt;0),ROUND(AA195*MAX(0,25-AE195),0),""))</f>
        <v>78969</v>
      </c>
      <c r="AE195" s="64">
        <f t="shared" ref="AE195:AE258" si="15">IF($C195="","",IF(AA195&gt;0,Z195/AA195,""))</f>
        <v>17.682728146929559</v>
      </c>
      <c r="AF195" s="59" t="str">
        <f>IF($C195="","",IF(AE195="","—",IF(AE195&lt;='⚙️ SUPUESTOS'!$C$32,"✔ Muy recomendable",IF(AE195&lt;='⚙️ SUPUESTOS'!$C$33,"✔ Recomendable","Valorar"))))</f>
        <v>Valorar</v>
      </c>
      <c r="AG195" s="68">
        <f>IF('📇 INVENTARIO'!O196="","",'📇 INVENTARIO'!O196)</f>
        <v>41.646360000000001</v>
      </c>
      <c r="AH195" s="68">
        <f>IF('📇 INVENTARIO'!P196="","",'📇 INVENTARIO'!P196)</f>
        <v>-4.7083899999999996</v>
      </c>
    </row>
    <row r="196" spans="1:34" ht="45" customHeight="1">
      <c r="A196" s="69">
        <f>IF($C196="","",RANK(O196,$O$3:$O$265,0)+COUNTIF($O$3:O196,O196)-1)</f>
        <v>194</v>
      </c>
      <c r="B196" s="70" t="str">
        <f>IF($C196="","",IF(A196&lt;='⚙️ SUPUESTOS'!$C$29,"Fase 1",IF(A196&lt;='⚙️ SUPUESTOS'!$C$30,"Fase 2","Fase 3")))</f>
        <v>Fase 3</v>
      </c>
      <c r="C196" s="71" t="str">
        <f>IF('📇 INVENTARIO'!B197="","",'📇 INVENTARIO'!B197)</f>
        <v>C/ Juan Carlos I, 89</v>
      </c>
      <c r="D196" s="70" t="str">
        <f>IF('📇 INVENTARIO'!C197="","",'📇 INVENTARIO'!C197)</f>
        <v>7922509UM5172B</v>
      </c>
      <c r="E196" s="70" t="str">
        <f>IF('📇 INVENTARIO'!D197="","",'📇 INVENTARIO'!D197)</f>
        <v>4718606025</v>
      </c>
      <c r="F196" s="70" t="str">
        <f>IF('📇 INVENTARIO'!F197="","",'📇 INVENTARIO'!F197)</f>
        <v>G</v>
      </c>
      <c r="G196" s="72">
        <f>IF('📇 INVENTARIO'!G197="","",'📇 INVENTARIO'!G197)</f>
        <v>256</v>
      </c>
      <c r="H196" s="72">
        <f>IF('📇 INVENTARIO'!H197="","",'📇 INVENTARIO'!H197)</f>
        <v>48</v>
      </c>
      <c r="I196" s="72">
        <f>IF('📇 INVENTARIO'!I197="","",'📇 INVENTARIO'!I197)</f>
        <v>112.6</v>
      </c>
      <c r="J196" s="72">
        <f>IF('📇 INVENTARIO'!J197="","",'📇 INVENTARIO'!J197)</f>
        <v>1969</v>
      </c>
      <c r="K196" s="73">
        <f>IF($C196="","",(G196-'⚙️ SUPUESTOS'!$C$20)/('⚙️ SUPUESTOS'!$C$25-'⚙️ SUPUESTOS'!$C$20))</f>
        <v>0.1944922547332186</v>
      </c>
      <c r="L196" s="73">
        <f>IF($C196="","",VLOOKUP($E196,'📊 SECCIONES'!$B$4:$S$9,16,FALSE()))</f>
        <v>0</v>
      </c>
      <c r="M196" s="73">
        <f>IF($C196="","",VLOOKUP($E196,'📊 SECCIONES'!$B$4:$S$9,17,FALSE()))</f>
        <v>0</v>
      </c>
      <c r="N196" s="73">
        <f>IF($C196="","",VLOOKUP($E196,'📊 SECCIONES'!$B$4:$S$9,18,FALSE()))</f>
        <v>0.57727272727272727</v>
      </c>
      <c r="O196" s="74">
        <f>IF($C196="","",ROUND('⚙️ SUPUESTOS'!$C$21*K196+'⚙️ SUPUESTOS'!$C$22*L196+'⚙️ SUPUESTOS'!$C$23*M196+'⚙️ SUPUESTOS'!$C$24*N196,4))</f>
        <v>0.15890000000000001</v>
      </c>
      <c r="P196" s="75">
        <f>IF($C196="","",VLOOKUP($E196,'📊 SECCIONES'!$B$4:$S$9,7,FALSE()))</f>
        <v>20.3</v>
      </c>
      <c r="Q196" s="76">
        <f>IF($C196="","",VLOOKUP($E196,'📊 SECCIONES'!$B$4:$S$9,8,FALSE()))</f>
        <v>26404</v>
      </c>
      <c r="R196" s="75">
        <f>IF($C196="","",VLOOKUP($E196,'📊 SECCIONES'!$B$4:$S$9,10,FALSE()))</f>
        <v>23.3</v>
      </c>
      <c r="S196" s="72">
        <f>IF('📇 INVENTARIO'!K197="","",'📇 INVENTARIO'!K197)</f>
        <v>5</v>
      </c>
      <c r="T196" s="77" t="str">
        <f t="shared" si="12"/>
        <v>Objetivo: alcanzar calificación C. Actual: Cal.G. SATE integral + cubierta + carpinterías triple + aerotermia + instalación fotovoltaica</v>
      </c>
      <c r="U196" s="70" t="str">
        <f t="shared" si="13"/>
        <v>Valorar ascensor (verificar)</v>
      </c>
      <c r="V196" s="78">
        <f>IF('📇 INVENTARIO'!L197="","",'📇 INVENTARIO'!L197)</f>
        <v>444.2</v>
      </c>
      <c r="W196" s="75">
        <f>IF($C196="","",V196*'⚙️ SUPUESTOS'!$C$8*'⚙️ SUPUESTOS'!$C$9)</f>
        <v>93.281999999999996</v>
      </c>
      <c r="X196" s="78">
        <f>IF('📇 INVENTARIO'!N197="","",'📇 INVENTARIO'!N197)</f>
        <v>1344</v>
      </c>
      <c r="Y196" s="78">
        <f>IF($C196="","",W196*X196*'⚙️ SUPUESTOS'!$C$7)</f>
        <v>112833.9072</v>
      </c>
      <c r="Z196" s="76">
        <f>IF($C196="","",W196*'⚙️ SUPUESTOS'!$C$10)</f>
        <v>124531.47</v>
      </c>
      <c r="AA196" s="76">
        <f>IF($C196="","",Y196*('⚙️ SUPUESTOS'!$C$12*'⚙️ SUPUESTOS'!$C$11+(1-'⚙️ SUPUESTOS'!$C$12)*'⚙️ SUPUESTOS'!$C$13))</f>
        <v>7695.2724710400016</v>
      </c>
      <c r="AB196" s="76">
        <f>IF($C196="","",IF(Y196&gt;0,ROUND(Y196*'⚙️ SUPUESTOS'!$C$12*'⚙️ SUPUESTOS'!$C$11,0),""))</f>
        <v>2821</v>
      </c>
      <c r="AC196" s="76">
        <f>IF($C196="","",IF(Y196&gt;0,ROUND(Y196*(1-'⚙️ SUPUESTOS'!$C$12)*'⚙️ SUPUESTOS'!$C$13,0),""))</f>
        <v>4874</v>
      </c>
      <c r="AD196" s="76">
        <f t="shared" si="14"/>
        <v>67850</v>
      </c>
      <c r="AE196" s="75">
        <f t="shared" si="15"/>
        <v>16.182853884466784</v>
      </c>
      <c r="AF196" s="70" t="str">
        <f>IF($C196="","",IF(AE196="","—",IF(AE196&lt;='⚙️ SUPUESTOS'!$C$32,"✔ Muy recomendable",IF(AE196&lt;='⚙️ SUPUESTOS'!$C$33,"✔ Recomendable","Valorar"))))</f>
        <v>Valorar</v>
      </c>
      <c r="AG196" s="79">
        <f>IF('📇 INVENTARIO'!O197="","",'📇 INVENTARIO'!O197)</f>
        <v>41.646819999999998</v>
      </c>
      <c r="AH196" s="79">
        <f>IF('📇 INVENTARIO'!P197="","",'📇 INVENTARIO'!P197)</f>
        <v>-4.70716</v>
      </c>
    </row>
    <row r="197" spans="1:34" ht="45" customHeight="1">
      <c r="A197" s="58">
        <f>IF($C197="","",RANK(O197,$O$3:$O$265,0)+COUNTIF($O$3:O197,O197)-1)</f>
        <v>195</v>
      </c>
      <c r="B197" s="59" t="str">
        <f>IF($C197="","",IF(A197&lt;='⚙️ SUPUESTOS'!$C$29,"Fase 1",IF(A197&lt;='⚙️ SUPUESTOS'!$C$30,"Fase 2","Fase 3")))</f>
        <v>Fase 3</v>
      </c>
      <c r="C197" s="60" t="str">
        <f>IF('📇 INVENTARIO'!B198="","",'📇 INVENTARIO'!B198)</f>
        <v>C/ Juan Carlos I, 85</v>
      </c>
      <c r="D197" s="59" t="str">
        <f>IF('📇 INVENTARIO'!C198="","",'📇 INVENTARIO'!C198)</f>
        <v>7922507UM5172B</v>
      </c>
      <c r="E197" s="59" t="str">
        <f>IF('📇 INVENTARIO'!D198="","",'📇 INVENTARIO'!D198)</f>
        <v>4718606025</v>
      </c>
      <c r="F197" s="59" t="str">
        <f>IF('📇 INVENTARIO'!F198="","",'📇 INVENTARIO'!F198)</f>
        <v>E</v>
      </c>
      <c r="G197" s="61">
        <f>IF('📇 INVENTARIO'!G198="","",'📇 INVENTARIO'!G198)</f>
        <v>253</v>
      </c>
      <c r="H197" s="61">
        <f>IF('📇 INVENTARIO'!H198="","",'📇 INVENTARIO'!H198)</f>
        <v>52</v>
      </c>
      <c r="I197" s="61">
        <f>IF('📇 INVENTARIO'!I198="","",'📇 INVENTARIO'!I198)</f>
        <v>142.69999999999999</v>
      </c>
      <c r="J197" s="61">
        <f>IF('📇 INVENTARIO'!J198="","",'📇 INVENTARIO'!J198)</f>
        <v>1969</v>
      </c>
      <c r="K197" s="62">
        <f>IF($C197="","",(G197-'⚙️ SUPUESTOS'!$C$20)/('⚙️ SUPUESTOS'!$C$25-'⚙️ SUPUESTOS'!$C$20))</f>
        <v>0.18932874354561102</v>
      </c>
      <c r="L197" s="62">
        <f>IF($C197="","",VLOOKUP($E197,'📊 SECCIONES'!$B$4:$S$9,16,FALSE()))</f>
        <v>0</v>
      </c>
      <c r="M197" s="62">
        <f>IF($C197="","",VLOOKUP($E197,'📊 SECCIONES'!$B$4:$S$9,17,FALSE()))</f>
        <v>0</v>
      </c>
      <c r="N197" s="62">
        <f>IF($C197="","",VLOOKUP($E197,'📊 SECCIONES'!$B$4:$S$9,18,FALSE()))</f>
        <v>0.57727272727272727</v>
      </c>
      <c r="O197" s="63">
        <f>IF($C197="","",ROUND('⚙️ SUPUESTOS'!$C$21*K197+'⚙️ SUPUESTOS'!$C$22*L197+'⚙️ SUPUESTOS'!$C$23*M197+'⚙️ SUPUESTOS'!$C$24*N197,4))</f>
        <v>0.15609999999999999</v>
      </c>
      <c r="P197" s="64">
        <f>IF($C197="","",VLOOKUP($E197,'📊 SECCIONES'!$B$4:$S$9,7,FALSE()))</f>
        <v>20.3</v>
      </c>
      <c r="Q197" s="65">
        <f>IF($C197="","",VLOOKUP($E197,'📊 SECCIONES'!$B$4:$S$9,8,FALSE()))</f>
        <v>26404</v>
      </c>
      <c r="R197" s="64">
        <f>IF($C197="","",VLOOKUP($E197,'📊 SECCIONES'!$B$4:$S$9,10,FALSE()))</f>
        <v>23.3</v>
      </c>
      <c r="S197" s="61">
        <f>IF('📇 INVENTARIO'!K198="","",'📇 INVENTARIO'!K198)</f>
        <v>5</v>
      </c>
      <c r="T197" s="66" t="str">
        <f t="shared" si="12"/>
        <v>Objetivo: alcanzar calificación C. Actual: Cal.E. SATE fachada + carpinterías doble + instalación fotovoltaica</v>
      </c>
      <c r="U197" s="59" t="str">
        <f t="shared" si="13"/>
        <v>Valorar ascensor (verificar)</v>
      </c>
      <c r="V197" s="67">
        <f>IF('📇 INVENTARIO'!L198="","",'📇 INVENTARIO'!L198)</f>
        <v>430.3</v>
      </c>
      <c r="W197" s="64">
        <f>IF($C197="","",V197*'⚙️ SUPUESTOS'!$C$8*'⚙️ SUPUESTOS'!$C$9)</f>
        <v>90.363</v>
      </c>
      <c r="X197" s="67">
        <f>IF('📇 INVENTARIO'!N198="","",'📇 INVENTARIO'!N198)</f>
        <v>1487</v>
      </c>
      <c r="Y197" s="67">
        <f>IF($C197="","",W197*X197*'⚙️ SUPUESTOS'!$C$7)</f>
        <v>120932.8029</v>
      </c>
      <c r="Z197" s="65">
        <f>IF($C197="","",W197*'⚙️ SUPUESTOS'!$C$10)</f>
        <v>120634.605</v>
      </c>
      <c r="AA197" s="65">
        <f>IF($C197="","",Y197*('⚙️ SUPUESTOS'!$C$12*'⚙️ SUPUESTOS'!$C$11+(1-'⚙️ SUPUESTOS'!$C$12)*'⚙️ SUPUESTOS'!$C$13))</f>
        <v>8247.6171577800014</v>
      </c>
      <c r="AB197" s="65">
        <f>IF($C197="","",IF(Y197&gt;0,ROUND(Y197*'⚙️ SUPUESTOS'!$C$12*'⚙️ SUPUESTOS'!$C$11,0),""))</f>
        <v>3023</v>
      </c>
      <c r="AC197" s="65">
        <f>IF($C197="","",IF(Y197&gt;0,ROUND(Y197*(1-'⚙️ SUPUESTOS'!$C$12)*'⚙️ SUPUESTOS'!$C$13,0),""))</f>
        <v>5224</v>
      </c>
      <c r="AD197" s="65">
        <f t="shared" si="14"/>
        <v>85556</v>
      </c>
      <c r="AE197" s="64">
        <f t="shared" si="15"/>
        <v>14.626600955429293</v>
      </c>
      <c r="AF197" s="59" t="str">
        <f>IF($C197="","",IF(AE197="","—",IF(AE197&lt;='⚙️ SUPUESTOS'!$C$32,"✔ Muy recomendable",IF(AE197&lt;='⚙️ SUPUESTOS'!$C$33,"✔ Recomendable","Valorar"))))</f>
        <v>✔ Muy recomendable</v>
      </c>
      <c r="AG197" s="68">
        <f>IF('📇 INVENTARIO'!O198="","",'📇 INVENTARIO'!O198)</f>
        <v>41.646509999999999</v>
      </c>
      <c r="AH197" s="68">
        <f>IF('📇 INVENTARIO'!P198="","",'📇 INVENTARIO'!P198)</f>
        <v>-4.7073400000000003</v>
      </c>
    </row>
    <row r="198" spans="1:34" ht="45" customHeight="1">
      <c r="A198" s="69">
        <f>IF($C198="","",RANK(O198,$O$3:$O$265,0)+COUNTIF($O$3:O198,O198)-1)</f>
        <v>196</v>
      </c>
      <c r="B198" s="70" t="str">
        <f>IF($C198="","",IF(A198&lt;='⚙️ SUPUESTOS'!$C$29,"Fase 1",IF(A198&lt;='⚙️ SUPUESTOS'!$C$30,"Fase 2","Fase 3")))</f>
        <v>Fase 3</v>
      </c>
      <c r="C198" s="71" t="str">
        <f>IF('📇 INVENTARIO'!B199="","",'📇 INVENTARIO'!B199)</f>
        <v>C/ Faisán, 23</v>
      </c>
      <c r="D198" s="70" t="str">
        <f>IF('📇 INVENTARIO'!C199="","",'📇 INVENTARIO'!C199)</f>
        <v>7923005UM5172D</v>
      </c>
      <c r="E198" s="70" t="str">
        <f>IF('📇 INVENTARIO'!D199="","",'📇 INVENTARIO'!D199)</f>
        <v>4718606025</v>
      </c>
      <c r="F198" s="70" t="str">
        <f>IF('📇 INVENTARIO'!F199="","",'📇 INVENTARIO'!F199)</f>
        <v>E</v>
      </c>
      <c r="G198" s="72">
        <f>IF('📇 INVENTARIO'!G199="","",'📇 INVENTARIO'!G199)</f>
        <v>244</v>
      </c>
      <c r="H198" s="72">
        <f>IF('📇 INVENTARIO'!H199="","",'📇 INVENTARIO'!H199)</f>
        <v>52</v>
      </c>
      <c r="I198" s="72">
        <f>IF('📇 INVENTARIO'!I199="","",'📇 INVENTARIO'!I199)</f>
        <v>127.9</v>
      </c>
      <c r="J198" s="72">
        <f>IF('📇 INVENTARIO'!J199="","",'📇 INVENTARIO'!J199)</f>
        <v>1969</v>
      </c>
      <c r="K198" s="73">
        <f>IF($C198="","",(G198-'⚙️ SUPUESTOS'!$C$20)/('⚙️ SUPUESTOS'!$C$25-'⚙️ SUPUESTOS'!$C$20))</f>
        <v>0.17383820998278829</v>
      </c>
      <c r="L198" s="73">
        <f>IF($C198="","",VLOOKUP($E198,'📊 SECCIONES'!$B$4:$S$9,16,FALSE()))</f>
        <v>0</v>
      </c>
      <c r="M198" s="73">
        <f>IF($C198="","",VLOOKUP($E198,'📊 SECCIONES'!$B$4:$S$9,17,FALSE()))</f>
        <v>0</v>
      </c>
      <c r="N198" s="73">
        <f>IF($C198="","",VLOOKUP($E198,'📊 SECCIONES'!$B$4:$S$9,18,FALSE()))</f>
        <v>0.57727272727272727</v>
      </c>
      <c r="O198" s="74">
        <f>IF($C198="","",ROUND('⚙️ SUPUESTOS'!$C$21*K198+'⚙️ SUPUESTOS'!$C$22*L198+'⚙️ SUPUESTOS'!$C$23*M198+'⚙️ SUPUESTOS'!$C$24*N198,4))</f>
        <v>0.14760000000000001</v>
      </c>
      <c r="P198" s="75">
        <f>IF($C198="","",VLOOKUP($E198,'📊 SECCIONES'!$B$4:$S$9,7,FALSE()))</f>
        <v>20.3</v>
      </c>
      <c r="Q198" s="76">
        <f>IF($C198="","",VLOOKUP($E198,'📊 SECCIONES'!$B$4:$S$9,8,FALSE()))</f>
        <v>26404</v>
      </c>
      <c r="R198" s="75">
        <f>IF($C198="","",VLOOKUP($E198,'📊 SECCIONES'!$B$4:$S$9,10,FALSE()))</f>
        <v>23.3</v>
      </c>
      <c r="S198" s="72">
        <f>IF('📇 INVENTARIO'!K199="","",'📇 INVENTARIO'!K199)</f>
        <v>4</v>
      </c>
      <c r="T198" s="77" t="str">
        <f t="shared" si="12"/>
        <v>Objetivo: alcanzar calificación C. Actual: Cal.E. SATE fachada + carpinterías doble + instalación fotovoltaica</v>
      </c>
      <c r="U198" s="70" t="str">
        <f t="shared" si="13"/>
        <v>Valorar ascensor (verificar)</v>
      </c>
      <c r="V198" s="78">
        <f>IF('📇 INVENTARIO'!L199="","",'📇 INVENTARIO'!L199)</f>
        <v>345.9</v>
      </c>
      <c r="W198" s="75">
        <f>IF($C198="","",V198*'⚙️ SUPUESTOS'!$C$8*'⚙️ SUPUESTOS'!$C$9)</f>
        <v>72.638999999999996</v>
      </c>
      <c r="X198" s="78">
        <f>IF('📇 INVENTARIO'!N199="","",'📇 INVENTARIO'!N199)</f>
        <v>1393</v>
      </c>
      <c r="Y198" s="78">
        <f>IF($C198="","",W198*X198*'⚙️ SUPUESTOS'!$C$7)</f>
        <v>91067.514299999995</v>
      </c>
      <c r="Z198" s="76">
        <f>IF($C198="","",W198*'⚙️ SUPUESTOS'!$C$10)</f>
        <v>96973.064999999988</v>
      </c>
      <c r="AA198" s="76">
        <f>IF($C198="","",Y198*('⚙️ SUPUESTOS'!$C$12*'⚙️ SUPUESTOS'!$C$11+(1-'⚙️ SUPUESTOS'!$C$12)*'⚙️ SUPUESTOS'!$C$13))</f>
        <v>6210.8044752600008</v>
      </c>
      <c r="AB198" s="76">
        <f>IF($C198="","",IF(Y198&gt;0,ROUND(Y198*'⚙️ SUPUESTOS'!$C$12*'⚙️ SUPUESTOS'!$C$11,0),""))</f>
        <v>2277</v>
      </c>
      <c r="AC198" s="76">
        <f>IF($C198="","",IF(Y198&gt;0,ROUND(Y198*(1-'⚙️ SUPUESTOS'!$C$12)*'⚙️ SUPUESTOS'!$C$13,0),""))</f>
        <v>3934</v>
      </c>
      <c r="AD198" s="76">
        <f t="shared" si="14"/>
        <v>58297</v>
      </c>
      <c r="AE198" s="75">
        <f t="shared" si="15"/>
        <v>15.613607767927752</v>
      </c>
      <c r="AF198" s="70" t="str">
        <f>IF($C198="","",IF(AE198="","—",IF(AE198&lt;='⚙️ SUPUESTOS'!$C$32,"✔ Muy recomendable",IF(AE198&lt;='⚙️ SUPUESTOS'!$C$33,"✔ Recomendable","Valorar"))))</f>
        <v>✔ Recomendable</v>
      </c>
      <c r="AG198" s="79">
        <f>IF('📇 INVENTARIO'!O199="","",'📇 INVENTARIO'!O199)</f>
        <v>41.647320000000001</v>
      </c>
      <c r="AH198" s="79">
        <f>IF('📇 INVENTARIO'!P199="","",'📇 INVENTARIO'!P199)</f>
        <v>-4.7074199999999999</v>
      </c>
    </row>
    <row r="199" spans="1:34" ht="45" customHeight="1">
      <c r="A199" s="58">
        <f>IF($C199="","",RANK(O199,$O$3:$O$265,0)+COUNTIF($O$3:O199,O199)-1)</f>
        <v>197</v>
      </c>
      <c r="B199" s="59" t="str">
        <f>IF($C199="","",IF(A199&lt;='⚙️ SUPUESTOS'!$C$29,"Fase 1",IF(A199&lt;='⚙️ SUPUESTOS'!$C$30,"Fase 2","Fase 3")))</f>
        <v>Fase 3</v>
      </c>
      <c r="C199" s="60" t="str">
        <f>IF('📇 INVENTARIO'!B200="","",'📇 INVENTARIO'!B200)</f>
        <v>C/ Gallo, 16</v>
      </c>
      <c r="D199" s="59" t="str">
        <f>IF('📇 INVENTARIO'!C200="","",'📇 INVENTARIO'!C200)</f>
        <v>7922503UM5172B</v>
      </c>
      <c r="E199" s="59" t="str">
        <f>IF('📇 INVENTARIO'!D200="","",'📇 INVENTARIO'!D200)</f>
        <v>4718606025</v>
      </c>
      <c r="F199" s="59" t="str">
        <f>IF('📇 INVENTARIO'!F200="","",'📇 INVENTARIO'!F200)</f>
        <v>E</v>
      </c>
      <c r="G199" s="61">
        <f>IF('📇 INVENTARIO'!G200="","",'📇 INVENTARIO'!G200)</f>
        <v>242</v>
      </c>
      <c r="H199" s="61">
        <f>IF('📇 INVENTARIO'!H200="","",'📇 INVENTARIO'!H200)</f>
        <v>52</v>
      </c>
      <c r="I199" s="61">
        <f>IF('📇 INVENTARIO'!I200="","",'📇 INVENTARIO'!I200)</f>
        <v>101.6</v>
      </c>
      <c r="J199" s="61">
        <f>IF('📇 INVENTARIO'!J200="","",'📇 INVENTARIO'!J200)</f>
        <v>1976</v>
      </c>
      <c r="K199" s="62">
        <f>IF($C199="","",(G199-'⚙️ SUPUESTOS'!$C$20)/('⚙️ SUPUESTOS'!$C$25-'⚙️ SUPUESTOS'!$C$20))</f>
        <v>0.1703958691910499</v>
      </c>
      <c r="L199" s="62">
        <f>IF($C199="","",VLOOKUP($E199,'📊 SECCIONES'!$B$4:$S$9,16,FALSE()))</f>
        <v>0</v>
      </c>
      <c r="M199" s="62">
        <f>IF($C199="","",VLOOKUP($E199,'📊 SECCIONES'!$B$4:$S$9,17,FALSE()))</f>
        <v>0</v>
      </c>
      <c r="N199" s="62">
        <f>IF($C199="","",VLOOKUP($E199,'📊 SECCIONES'!$B$4:$S$9,18,FALSE()))</f>
        <v>0.57727272727272727</v>
      </c>
      <c r="O199" s="63">
        <f>IF($C199="","",ROUND('⚙️ SUPUESTOS'!$C$21*K199+'⚙️ SUPUESTOS'!$C$22*L199+'⚙️ SUPUESTOS'!$C$23*M199+'⚙️ SUPUESTOS'!$C$24*N199,4))</f>
        <v>0.1457</v>
      </c>
      <c r="P199" s="64">
        <f>IF($C199="","",VLOOKUP($E199,'📊 SECCIONES'!$B$4:$S$9,7,FALSE()))</f>
        <v>20.3</v>
      </c>
      <c r="Q199" s="65">
        <f>IF($C199="","",VLOOKUP($E199,'📊 SECCIONES'!$B$4:$S$9,8,FALSE()))</f>
        <v>26404</v>
      </c>
      <c r="R199" s="64">
        <f>IF($C199="","",VLOOKUP($E199,'📊 SECCIONES'!$B$4:$S$9,10,FALSE()))</f>
        <v>23.3</v>
      </c>
      <c r="S199" s="61">
        <f>IF('📇 INVENTARIO'!K200="","",'📇 INVENTARIO'!K200)</f>
        <v>12</v>
      </c>
      <c r="T199" s="66" t="str">
        <f t="shared" si="12"/>
        <v>Objetivo: alcanzar calificación C. Actual: Cal.E. SATE fachada + carpinterías doble + instalación fotovoltaica</v>
      </c>
      <c r="U199" s="59" t="str">
        <f t="shared" si="13"/>
        <v>Valorar ascensor (verificar)</v>
      </c>
      <c r="V199" s="67">
        <f>IF('📇 INVENTARIO'!L200="","",'📇 INVENTARIO'!L200)</f>
        <v>680.7</v>
      </c>
      <c r="W199" s="64">
        <f>IF($C199="","",V199*'⚙️ SUPUESTOS'!$C$8*'⚙️ SUPUESTOS'!$C$9)</f>
        <v>142.947</v>
      </c>
      <c r="X199" s="67">
        <f>IF('📇 INVENTARIO'!N200="","",'📇 INVENTARIO'!N200)</f>
        <v>1230</v>
      </c>
      <c r="Y199" s="67">
        <f>IF($C199="","",W199*X199*'⚙️ SUPUESTOS'!$C$7)</f>
        <v>158242.329</v>
      </c>
      <c r="Z199" s="65">
        <f>IF($C199="","",W199*'⚙️ SUPUESTOS'!$C$10)</f>
        <v>190834.245</v>
      </c>
      <c r="AA199" s="65">
        <f>IF($C199="","",Y199*('⚙️ SUPUESTOS'!$C$12*'⚙️ SUPUESTOS'!$C$11+(1-'⚙️ SUPUESTOS'!$C$12)*'⚙️ SUPUESTOS'!$C$13))</f>
        <v>10792.126837800002</v>
      </c>
      <c r="AB199" s="65">
        <f>IF($C199="","",IF(Y199&gt;0,ROUND(Y199*'⚙️ SUPUESTOS'!$C$12*'⚙️ SUPUESTOS'!$C$11,0),""))</f>
        <v>3956</v>
      </c>
      <c r="AC199" s="65">
        <f>IF($C199="","",IF(Y199&gt;0,ROUND(Y199*(1-'⚙️ SUPUESTOS'!$C$12)*'⚙️ SUPUESTOS'!$C$13,0),""))</f>
        <v>6836</v>
      </c>
      <c r="AD199" s="65">
        <f t="shared" si="14"/>
        <v>78969</v>
      </c>
      <c r="AE199" s="64">
        <f t="shared" si="15"/>
        <v>17.682728146929559</v>
      </c>
      <c r="AF199" s="59" t="str">
        <f>IF($C199="","",IF(AE199="","—",IF(AE199&lt;='⚙️ SUPUESTOS'!$C$32,"✔ Muy recomendable",IF(AE199&lt;='⚙️ SUPUESTOS'!$C$33,"✔ Recomendable","Valorar"))))</f>
        <v>Valorar</v>
      </c>
      <c r="AG199" s="68">
        <f>IF('📇 INVENTARIO'!O200="","",'📇 INVENTARIO'!O200)</f>
        <v>41.646720000000002</v>
      </c>
      <c r="AH199" s="68">
        <f>IF('📇 INVENTARIO'!P200="","",'📇 INVENTARIO'!P200)</f>
        <v>-4.7083199999999996</v>
      </c>
    </row>
    <row r="200" spans="1:34" ht="45" customHeight="1">
      <c r="A200" s="69">
        <f>IF($C200="","",RANK(O200,$O$3:$O$265,0)+COUNTIF($O$3:O200,O200)-1)</f>
        <v>198</v>
      </c>
      <c r="B200" s="70" t="str">
        <f>IF($C200="","",IF(A200&lt;='⚙️ SUPUESTOS'!$C$29,"Fase 1",IF(A200&lt;='⚙️ SUPUESTOS'!$C$30,"Fase 2","Fase 3")))</f>
        <v>Fase 3</v>
      </c>
      <c r="C200" s="71" t="str">
        <f>IF('📇 INVENTARIO'!B201="","",'📇 INVENTARIO'!B201)</f>
        <v>C/ Pingüino, 13</v>
      </c>
      <c r="D200" s="70" t="str">
        <f>IF('📇 INVENTARIO'!C201="","",'📇 INVENTARIO'!C201)</f>
        <v>8025208UM5182E</v>
      </c>
      <c r="E200" s="70" t="str">
        <f>IF('📇 INVENTARIO'!D201="","",'📇 INVENTARIO'!D201)</f>
        <v>4718606024</v>
      </c>
      <c r="F200" s="70" t="str">
        <f>IF('📇 INVENTARIO'!F201="","",'📇 INVENTARIO'!F201)</f>
        <v>E</v>
      </c>
      <c r="G200" s="72">
        <f>IF('📇 INVENTARIO'!G201="","",'📇 INVENTARIO'!G201)</f>
        <v>160</v>
      </c>
      <c r="H200" s="72">
        <f>IF('📇 INVENTARIO'!H201="","",'📇 INVENTARIO'!H201)</f>
        <v>33.5</v>
      </c>
      <c r="I200" s="72">
        <f>IF('📇 INVENTARIO'!I201="","",'📇 INVENTARIO'!I201)</f>
        <v>83.5</v>
      </c>
      <c r="J200" s="72">
        <f>IF('📇 INVENTARIO'!J201="","",'📇 INVENTARIO'!J201)</f>
        <v>1969</v>
      </c>
      <c r="K200" s="73">
        <f>IF($C200="","",(G200-'⚙️ SUPUESTOS'!$C$20)/('⚙️ SUPUESTOS'!$C$25-'⚙️ SUPUESTOS'!$C$20))</f>
        <v>2.9259896729776247E-2</v>
      </c>
      <c r="L200" s="73">
        <f>IF($C200="","",VLOOKUP($E200,'📊 SECCIONES'!$B$4:$S$9,16,FALSE()))</f>
        <v>0.13391192517993736</v>
      </c>
      <c r="M200" s="73">
        <f>IF($C200="","",VLOOKUP($E200,'📊 SECCIONES'!$B$4:$S$9,17,FALSE()))</f>
        <v>0.16476683937823833</v>
      </c>
      <c r="N200" s="73">
        <f>IF($C200="","",VLOOKUP($E200,'📊 SECCIONES'!$B$4:$S$9,18,FALSE()))</f>
        <v>0.79545454545454541</v>
      </c>
      <c r="O200" s="74">
        <f>IF($C200="","",ROUND('⚙️ SUPUESTOS'!$C$21*K200+'⚙️ SUPUESTOS'!$C$22*L200+'⚙️ SUPUESTOS'!$C$23*M200+'⚙️ SUPUESTOS'!$C$24*N200,4))</f>
        <v>0.14019999999999999</v>
      </c>
      <c r="P200" s="75">
        <f>IF($C200="","",VLOOKUP($E200,'📊 SECCIONES'!$B$4:$S$9,7,FALSE()))</f>
        <v>30.06</v>
      </c>
      <c r="Q200" s="76">
        <f>IF($C200="","",VLOOKUP($E200,'📊 SECCIONES'!$B$4:$S$9,8,FALSE()))</f>
        <v>25132</v>
      </c>
      <c r="R200" s="75">
        <f>IF($C200="","",VLOOKUP($E200,'📊 SECCIONES'!$B$4:$S$9,10,FALSE()))</f>
        <v>28.1</v>
      </c>
      <c r="S200" s="72">
        <f>IF('📇 INVENTARIO'!K201="","",'📇 INVENTARIO'!K201)</f>
        <v>6</v>
      </c>
      <c r="T200" s="77" t="str">
        <f t="shared" si="12"/>
        <v>Objetivo: alcanzar calificación C. Actual: Cal.E. SATE fachada + carpinterías doble + instalación fotovoltaica</v>
      </c>
      <c r="U200" s="70" t="str">
        <f t="shared" si="13"/>
        <v>Valorar ascensor (verificar)</v>
      </c>
      <c r="V200" s="78">
        <f>IF('📇 INVENTARIO'!L201="","",'📇 INVENTARIO'!L201)</f>
        <v>492.4</v>
      </c>
      <c r="W200" s="75">
        <f>IF($C200="","",V200*'⚙️ SUPUESTOS'!$C$8*'⚙️ SUPUESTOS'!$C$9)</f>
        <v>103.404</v>
      </c>
      <c r="X200" s="78">
        <f>IF('📇 INVENTARIO'!N201="","",'📇 INVENTARIO'!N201)</f>
        <v>1591</v>
      </c>
      <c r="Y200" s="78">
        <f>IF($C200="","",W200*X200*'⚙️ SUPUESTOS'!$C$7)</f>
        <v>148064.1876</v>
      </c>
      <c r="Z200" s="76">
        <f>IF($C200="","",W200*'⚙️ SUPUESTOS'!$C$10)</f>
        <v>138044.34</v>
      </c>
      <c r="AA200" s="76">
        <f>IF($C200="","",Y200*('⚙️ SUPUESTOS'!$C$12*'⚙️ SUPUESTOS'!$C$11+(1-'⚙️ SUPUESTOS'!$C$12)*'⚙️ SUPUESTOS'!$C$13))</f>
        <v>10097.977594320002</v>
      </c>
      <c r="AB200" s="76">
        <f>IF($C200="","",IF(Y200&gt;0,ROUND(Y200*'⚙️ SUPUESTOS'!$C$12*'⚙️ SUPUESTOS'!$C$11,0),""))</f>
        <v>3702</v>
      </c>
      <c r="AC200" s="76">
        <f>IF($C200="","",IF(Y200&gt;0,ROUND(Y200*(1-'⚙️ SUPUESTOS'!$C$12)*'⚙️ SUPUESTOS'!$C$13,0),""))</f>
        <v>6396</v>
      </c>
      <c r="AD200" s="76">
        <f t="shared" si="14"/>
        <v>114405</v>
      </c>
      <c r="AE200" s="75">
        <f t="shared" si="15"/>
        <v>13.670493790523794</v>
      </c>
      <c r="AF200" s="70" t="str">
        <f>IF($C200="","",IF(AE200="","—",IF(AE200&lt;='⚙️ SUPUESTOS'!$C$32,"✔ Muy recomendable",IF(AE200&lt;='⚙️ SUPUESTOS'!$C$33,"✔ Recomendable","Valorar"))))</f>
        <v>✔ Muy recomendable</v>
      </c>
      <c r="AG200" s="79">
        <f>IF('📇 INVENTARIO'!O201="","",'📇 INVENTARIO'!O201)</f>
        <v>41.649569999999997</v>
      </c>
      <c r="AH200" s="79">
        <f>IF('📇 INVENTARIO'!P201="","",'📇 INVENTARIO'!P201)</f>
        <v>-4.7068899999999996</v>
      </c>
    </row>
    <row r="201" spans="1:34" ht="45" customHeight="1">
      <c r="A201" s="58">
        <f>IF($C201="","",RANK(O201,$O$3:$O$265,0)+COUNTIF($O$3:O201,O201)-1)</f>
        <v>199</v>
      </c>
      <c r="B201" s="59" t="str">
        <f>IF($C201="","",IF(A201&lt;='⚙️ SUPUESTOS'!$C$29,"Fase 1",IF(A201&lt;='⚙️ SUPUESTOS'!$C$30,"Fase 2","Fase 3")))</f>
        <v>Fase 3</v>
      </c>
      <c r="C201" s="60" t="str">
        <f>IF('📇 INVENTARIO'!B202="","",'📇 INVENTARIO'!B202)</f>
        <v>C/ Tordo, 2</v>
      </c>
      <c r="D201" s="59" t="str">
        <f>IF('📇 INVENTARIO'!C202="","",'📇 INVENTARIO'!C202)</f>
        <v>8024008UM5182C</v>
      </c>
      <c r="E201" s="59" t="str">
        <f>IF('📇 INVENTARIO'!D202="","",'📇 INVENTARIO'!D202)</f>
        <v>4718606024</v>
      </c>
      <c r="F201" s="59" t="str">
        <f>IF('📇 INVENTARIO'!F202="","",'📇 INVENTARIO'!F202)</f>
        <v>E</v>
      </c>
      <c r="G201" s="61">
        <f>IF('📇 INVENTARIO'!G202="","",'📇 INVENTARIO'!G202)</f>
        <v>158</v>
      </c>
      <c r="H201" s="61">
        <f>IF('📇 INVENTARIO'!H202="","",'📇 INVENTARIO'!H202)</f>
        <v>27</v>
      </c>
      <c r="I201" s="61">
        <f>IF('📇 INVENTARIO'!I202="","",'📇 INVENTARIO'!I202)</f>
        <v>65.400000000000006</v>
      </c>
      <c r="J201" s="61">
        <f>IF('📇 INVENTARIO'!J202="","",'📇 INVENTARIO'!J202)</f>
        <v>1971</v>
      </c>
      <c r="K201" s="62">
        <f>IF($C201="","",(G201-'⚙️ SUPUESTOS'!$C$20)/('⚙️ SUPUESTOS'!$C$25-'⚙️ SUPUESTOS'!$C$20))</f>
        <v>2.5817555938037865E-2</v>
      </c>
      <c r="L201" s="62">
        <f>IF($C201="","",VLOOKUP($E201,'📊 SECCIONES'!$B$4:$S$9,16,FALSE()))</f>
        <v>0.13391192517993736</v>
      </c>
      <c r="M201" s="62">
        <f>IF($C201="","",VLOOKUP($E201,'📊 SECCIONES'!$B$4:$S$9,17,FALSE()))</f>
        <v>0.16476683937823833</v>
      </c>
      <c r="N201" s="62">
        <f>IF($C201="","",VLOOKUP($E201,'📊 SECCIONES'!$B$4:$S$9,18,FALSE()))</f>
        <v>0.79545454545454541</v>
      </c>
      <c r="O201" s="63">
        <f>IF($C201="","",ROUND('⚙️ SUPUESTOS'!$C$21*K201+'⚙️ SUPUESTOS'!$C$22*L201+'⚙️ SUPUESTOS'!$C$23*M201+'⚙️ SUPUESTOS'!$C$24*N201,4))</f>
        <v>0.13830000000000001</v>
      </c>
      <c r="P201" s="64">
        <f>IF($C201="","",VLOOKUP($E201,'📊 SECCIONES'!$B$4:$S$9,7,FALSE()))</f>
        <v>30.06</v>
      </c>
      <c r="Q201" s="65">
        <f>IF($C201="","",VLOOKUP($E201,'📊 SECCIONES'!$B$4:$S$9,8,FALSE()))</f>
        <v>25132</v>
      </c>
      <c r="R201" s="64">
        <f>IF($C201="","",VLOOKUP($E201,'📊 SECCIONES'!$B$4:$S$9,10,FALSE()))</f>
        <v>28.1</v>
      </c>
      <c r="S201" s="61">
        <f>IF('📇 INVENTARIO'!K202="","",'📇 INVENTARIO'!K202)</f>
        <v>5</v>
      </c>
      <c r="T201" s="66" t="str">
        <f t="shared" si="12"/>
        <v>Objetivo: alcanzar calificación C. Actual: Cal.E. SATE fachada + carpinterías doble + instalación fotovoltaica</v>
      </c>
      <c r="U201" s="59" t="str">
        <f t="shared" si="13"/>
        <v>Valorar ascensor (verificar)</v>
      </c>
      <c r="V201" s="67">
        <f>IF('📇 INVENTARIO'!L202="","",'📇 INVENTARIO'!L202)</f>
        <v>168.6</v>
      </c>
      <c r="W201" s="64">
        <f>IF($C201="","",V201*'⚙️ SUPUESTOS'!$C$8*'⚙️ SUPUESTOS'!$C$9)</f>
        <v>35.405999999999999</v>
      </c>
      <c r="X201" s="67">
        <f>IF('📇 INVENTARIO'!N202="","",'📇 INVENTARIO'!N202)</f>
        <v>1439</v>
      </c>
      <c r="Y201" s="67">
        <f>IF($C201="","",W201*X201*'⚙️ SUPUESTOS'!$C$7)</f>
        <v>45854.310599999997</v>
      </c>
      <c r="Z201" s="65">
        <f>IF($C201="","",W201*'⚙️ SUPUESTOS'!$C$10)</f>
        <v>47267.01</v>
      </c>
      <c r="AA201" s="65">
        <f>IF($C201="","",Y201*('⚙️ SUPUESTOS'!$C$12*'⚙️ SUPUESTOS'!$C$11+(1-'⚙️ SUPUESTOS'!$C$12)*'⚙️ SUPUESTOS'!$C$13))</f>
        <v>3127.2639829200002</v>
      </c>
      <c r="AB201" s="65">
        <f>IF($C201="","",IF(Y201&gt;0,ROUND(Y201*'⚙️ SUPUESTOS'!$C$12*'⚙️ SUPUESTOS'!$C$11,0),""))</f>
        <v>1146</v>
      </c>
      <c r="AC201" s="65">
        <f>IF($C201="","",IF(Y201&gt;0,ROUND(Y201*(1-'⚙️ SUPUESTOS'!$C$12)*'⚙️ SUPUESTOS'!$C$13,0),""))</f>
        <v>1981</v>
      </c>
      <c r="AD201" s="65">
        <f t="shared" si="14"/>
        <v>30915</v>
      </c>
      <c r="AE201" s="64">
        <f t="shared" si="15"/>
        <v>15.114493134623601</v>
      </c>
      <c r="AF201" s="59" t="str">
        <f>IF($C201="","",IF(AE201="","—",IF(AE201&lt;='⚙️ SUPUESTOS'!$C$32,"✔ Muy recomendable",IF(AE201&lt;='⚙️ SUPUESTOS'!$C$33,"✔ Recomendable","Valorar"))))</f>
        <v>✔ Recomendable</v>
      </c>
      <c r="AG201" s="68">
        <f>IF('📇 INVENTARIO'!O202="","",'📇 INVENTARIO'!O202)</f>
        <v>41.648719999999997</v>
      </c>
      <c r="AH201" s="68">
        <f>IF('📇 INVENTARIO'!P202="","",'📇 INVENTARIO'!P202)</f>
        <v>-4.7072399999999996</v>
      </c>
    </row>
    <row r="202" spans="1:34" ht="45" customHeight="1">
      <c r="A202" s="69">
        <f>IF($C202="","",RANK(O202,$O$3:$O$265,0)+COUNTIF($O$3:O202,O202)-1)</f>
        <v>200</v>
      </c>
      <c r="B202" s="70" t="str">
        <f>IF($C202="","",IF(A202&lt;='⚙️ SUPUESTOS'!$C$29,"Fase 1",IF(A202&lt;='⚙️ SUPUESTOS'!$C$30,"Fase 2","Fase 3")))</f>
        <v>Fase 3</v>
      </c>
      <c r="C202" s="71" t="str">
        <f>IF('📇 INVENTARIO'!B203="","",'📇 INVENTARIO'!B203)</f>
        <v>C/ Faisán, 20</v>
      </c>
      <c r="D202" s="70" t="str">
        <f>IF('📇 INVENTARIO'!C203="","",'📇 INVENTARIO'!C203)</f>
        <v>7922501UM5172B</v>
      </c>
      <c r="E202" s="70" t="str">
        <f>IF('📇 INVENTARIO'!D203="","",'📇 INVENTARIO'!D203)</f>
        <v>4718606025</v>
      </c>
      <c r="F202" s="70" t="str">
        <f>IF('📇 INVENTARIO'!F203="","",'📇 INVENTARIO'!F203)</f>
        <v>E</v>
      </c>
      <c r="G202" s="72">
        <f>IF('📇 INVENTARIO'!G203="","",'📇 INVENTARIO'!G203)</f>
        <v>230</v>
      </c>
      <c r="H202" s="72">
        <f>IF('📇 INVENTARIO'!H203="","",'📇 INVENTARIO'!H203)</f>
        <v>49</v>
      </c>
      <c r="I202" s="72">
        <f>IF('📇 INVENTARIO'!I203="","",'📇 INVENTARIO'!I203)</f>
        <v>111.8</v>
      </c>
      <c r="J202" s="72">
        <f>IF('📇 INVENTARIO'!J203="","",'📇 INVENTARIO'!J203)</f>
        <v>1969</v>
      </c>
      <c r="K202" s="73">
        <f>IF($C202="","",(G202-'⚙️ SUPUESTOS'!$C$20)/('⚙️ SUPUESTOS'!$C$25-'⚙️ SUPUESTOS'!$C$20))</f>
        <v>0.14974182444061962</v>
      </c>
      <c r="L202" s="73">
        <f>IF($C202="","",VLOOKUP($E202,'📊 SECCIONES'!$B$4:$S$9,16,FALSE()))</f>
        <v>0</v>
      </c>
      <c r="M202" s="73">
        <f>IF($C202="","",VLOOKUP($E202,'📊 SECCIONES'!$B$4:$S$9,17,FALSE()))</f>
        <v>0</v>
      </c>
      <c r="N202" s="73">
        <f>IF($C202="","",VLOOKUP($E202,'📊 SECCIONES'!$B$4:$S$9,18,FALSE()))</f>
        <v>0.57727272727272727</v>
      </c>
      <c r="O202" s="74">
        <f>IF($C202="","",ROUND('⚙️ SUPUESTOS'!$C$21*K202+'⚙️ SUPUESTOS'!$C$22*L202+'⚙️ SUPUESTOS'!$C$23*M202+'⚙️ SUPUESTOS'!$C$24*N202,4))</f>
        <v>0.1343</v>
      </c>
      <c r="P202" s="75">
        <f>IF($C202="","",VLOOKUP($E202,'📊 SECCIONES'!$B$4:$S$9,7,FALSE()))</f>
        <v>20.3</v>
      </c>
      <c r="Q202" s="76">
        <f>IF($C202="","",VLOOKUP($E202,'📊 SECCIONES'!$B$4:$S$9,8,FALSE()))</f>
        <v>26404</v>
      </c>
      <c r="R202" s="75">
        <f>IF($C202="","",VLOOKUP($E202,'📊 SECCIONES'!$B$4:$S$9,10,FALSE()))</f>
        <v>23.3</v>
      </c>
      <c r="S202" s="72">
        <f>IF('📇 INVENTARIO'!K203="","",'📇 INVENTARIO'!K203)</f>
        <v>6</v>
      </c>
      <c r="T202" s="77" t="str">
        <f t="shared" si="12"/>
        <v>Objetivo: alcanzar calificación C. Actual: Cal.E. SATE fachada + carpinterías doble + instalación fotovoltaica</v>
      </c>
      <c r="U202" s="70" t="str">
        <f t="shared" si="13"/>
        <v>Valorar ascensor (verificar)</v>
      </c>
      <c r="V202" s="78">
        <f>IF('📇 INVENTARIO'!L203="","",'📇 INVENTARIO'!L203)</f>
        <v>589.6</v>
      </c>
      <c r="W202" s="75">
        <f>IF($C202="","",V202*'⚙️ SUPUESTOS'!$C$8*'⚙️ SUPUESTOS'!$C$9)</f>
        <v>123.816</v>
      </c>
      <c r="X202" s="78">
        <f>IF('📇 INVENTARIO'!N203="","",'📇 INVENTARIO'!N203)</f>
        <v>1444</v>
      </c>
      <c r="Y202" s="78">
        <f>IF($C202="","",W202*X202*'⚙️ SUPUESTOS'!$C$7)</f>
        <v>160911.27360000001</v>
      </c>
      <c r="Z202" s="76">
        <f>IF($C202="","",W202*'⚙️ SUPUESTOS'!$C$10)</f>
        <v>165294.36000000002</v>
      </c>
      <c r="AA202" s="76">
        <f>IF($C202="","",Y202*('⚙️ SUPUESTOS'!$C$12*'⚙️ SUPUESTOS'!$C$11+(1-'⚙️ SUPUESTOS'!$C$12)*'⚙️ SUPUESTOS'!$C$13))</f>
        <v>10974.148859520003</v>
      </c>
      <c r="AB202" s="76">
        <f>IF($C202="","",IF(Y202&gt;0,ROUND(Y202*'⚙️ SUPUESTOS'!$C$12*'⚙️ SUPUESTOS'!$C$11,0),""))</f>
        <v>4023</v>
      </c>
      <c r="AC202" s="76">
        <f>IF($C202="","",IF(Y202&gt;0,ROUND(Y202*(1-'⚙️ SUPUESTOS'!$C$12)*'⚙️ SUPUESTOS'!$C$13,0),""))</f>
        <v>6951</v>
      </c>
      <c r="AD202" s="76">
        <f t="shared" si="14"/>
        <v>109059</v>
      </c>
      <c r="AE202" s="75">
        <f t="shared" si="15"/>
        <v>15.062157632079888</v>
      </c>
      <c r="AF202" s="70" t="str">
        <f>IF($C202="","",IF(AE202="","—",IF(AE202&lt;='⚙️ SUPUESTOS'!$C$32,"✔ Muy recomendable",IF(AE202&lt;='⚙️ SUPUESTOS'!$C$33,"✔ Recomendable","Valorar"))))</f>
        <v>✔ Recomendable</v>
      </c>
      <c r="AG202" s="79">
        <f>IF('📇 INVENTARIO'!O203="","",'📇 INVENTARIO'!O203)</f>
        <v>41.647306999999998</v>
      </c>
      <c r="AH202" s="79">
        <f>IF('📇 INVENTARIO'!P203="","",'📇 INVENTARIO'!P203)</f>
        <v>-4.7076469999999997</v>
      </c>
    </row>
    <row r="203" spans="1:34" ht="45" customHeight="1">
      <c r="A203" s="58">
        <f>IF($C203="","",RANK(O203,$O$3:$O$265,0)+COUNTIF($O$3:O203,O203)-1)</f>
        <v>201</v>
      </c>
      <c r="B203" s="59" t="str">
        <f>IF($C203="","",IF(A203&lt;='⚙️ SUPUESTOS'!$C$29,"Fase 1",IF(A203&lt;='⚙️ SUPUESTOS'!$C$30,"Fase 2","Fase 3")))</f>
        <v>Fase 3</v>
      </c>
      <c r="C203" s="60" t="str">
        <f>IF('📇 INVENTARIO'!B204="","",'📇 INVENTARIO'!B204)</f>
        <v>C/ Juan Carlos I, 81</v>
      </c>
      <c r="D203" s="59" t="str">
        <f>IF('📇 INVENTARIO'!C204="","",'📇 INVENTARIO'!C204)</f>
        <v>7922505UM5172B</v>
      </c>
      <c r="E203" s="59" t="str">
        <f>IF('📇 INVENTARIO'!D204="","",'📇 INVENTARIO'!D204)</f>
        <v>4718606025</v>
      </c>
      <c r="F203" s="59" t="str">
        <f>IF('📇 INVENTARIO'!F204="","",'📇 INVENTARIO'!F204)</f>
        <v>E</v>
      </c>
      <c r="G203" s="61">
        <f>IF('📇 INVENTARIO'!G204="","",'📇 INVENTARIO'!G204)</f>
        <v>220</v>
      </c>
      <c r="H203" s="61">
        <f>IF('📇 INVENTARIO'!H204="","",'📇 INVENTARIO'!H204)</f>
        <v>46</v>
      </c>
      <c r="I203" s="61">
        <f>IF('📇 INVENTARIO'!I204="","",'📇 INVENTARIO'!I204)</f>
        <v>136.4</v>
      </c>
      <c r="J203" s="61">
        <f>IF('📇 INVENTARIO'!J204="","",'📇 INVENTARIO'!J204)</f>
        <v>1969</v>
      </c>
      <c r="K203" s="62">
        <f>IF($C203="","",(G203-'⚙️ SUPUESTOS'!$C$20)/('⚙️ SUPUESTOS'!$C$25-'⚙️ SUPUESTOS'!$C$20))</f>
        <v>0.13253012048192772</v>
      </c>
      <c r="L203" s="62">
        <f>IF($C203="","",VLOOKUP($E203,'📊 SECCIONES'!$B$4:$S$9,16,FALSE()))</f>
        <v>0</v>
      </c>
      <c r="M203" s="62">
        <f>IF($C203="","",VLOOKUP($E203,'📊 SECCIONES'!$B$4:$S$9,17,FALSE()))</f>
        <v>0</v>
      </c>
      <c r="N203" s="62">
        <f>IF($C203="","",VLOOKUP($E203,'📊 SECCIONES'!$B$4:$S$9,18,FALSE()))</f>
        <v>0.57727272727272727</v>
      </c>
      <c r="O203" s="63">
        <f>IF($C203="","",ROUND('⚙️ SUPUESTOS'!$C$21*K203+'⚙️ SUPUESTOS'!$C$22*L203+'⚙️ SUPUESTOS'!$C$23*M203+'⚙️ SUPUESTOS'!$C$24*N203,4))</f>
        <v>0.12479999999999999</v>
      </c>
      <c r="P203" s="64">
        <f>IF($C203="","",VLOOKUP($E203,'📊 SECCIONES'!$B$4:$S$9,7,FALSE()))</f>
        <v>20.3</v>
      </c>
      <c r="Q203" s="65">
        <f>IF($C203="","",VLOOKUP($E203,'📊 SECCIONES'!$B$4:$S$9,8,FALSE()))</f>
        <v>26404</v>
      </c>
      <c r="R203" s="64">
        <f>IF($C203="","",VLOOKUP($E203,'📊 SECCIONES'!$B$4:$S$9,10,FALSE()))</f>
        <v>23.3</v>
      </c>
      <c r="S203" s="61">
        <f>IF('📇 INVENTARIO'!K204="","",'📇 INVENTARIO'!K204)</f>
        <v>5</v>
      </c>
      <c r="T203" s="66" t="str">
        <f t="shared" si="12"/>
        <v>Objetivo: alcanzar calificación C. Actual: Cal.E. SATE fachada + carpinterías doble + instalación fotovoltaica</v>
      </c>
      <c r="U203" s="59" t="str">
        <f t="shared" si="13"/>
        <v>Valorar ascensor (verificar)</v>
      </c>
      <c r="V203" s="67">
        <f>IF('📇 INVENTARIO'!L204="","",'📇 INVENTARIO'!L204)</f>
        <v>343.2</v>
      </c>
      <c r="W203" s="64">
        <f>IF($C203="","",V203*'⚙️ SUPUESTOS'!$C$8*'⚙️ SUPUESTOS'!$C$9)</f>
        <v>72.071999999999989</v>
      </c>
      <c r="X203" s="67">
        <f>IF('📇 INVENTARIO'!N204="","",'📇 INVENTARIO'!N204)</f>
        <v>1259</v>
      </c>
      <c r="Y203" s="67">
        <f>IF($C203="","",W203*X203*'⚙️ SUPUESTOS'!$C$7)</f>
        <v>81664.783199999991</v>
      </c>
      <c r="Z203" s="65">
        <f>IF($C203="","",W203*'⚙️ SUPUESTOS'!$C$10)</f>
        <v>96216.119999999981</v>
      </c>
      <c r="AA203" s="65">
        <f>IF($C203="","",Y203*('⚙️ SUPUESTOS'!$C$12*'⚙️ SUPUESTOS'!$C$11+(1-'⚙️ SUPUESTOS'!$C$12)*'⚙️ SUPUESTOS'!$C$13))</f>
        <v>5569.5382142400003</v>
      </c>
      <c r="AB203" s="65">
        <f>IF($C203="","",IF(Y203&gt;0,ROUND(Y203*'⚙️ SUPUESTOS'!$C$12*'⚙️ SUPUESTOS'!$C$11,0),""))</f>
        <v>2042</v>
      </c>
      <c r="AC203" s="65">
        <f>IF($C203="","",IF(Y203&gt;0,ROUND(Y203*(1-'⚙️ SUPUESTOS'!$C$12)*'⚙️ SUPUESTOS'!$C$13,0),""))</f>
        <v>3528</v>
      </c>
      <c r="AD203" s="65">
        <f t="shared" si="14"/>
        <v>43022</v>
      </c>
      <c r="AE203" s="64">
        <f t="shared" si="15"/>
        <v>17.275421462051913</v>
      </c>
      <c r="AF203" s="59" t="str">
        <f>IF($C203="","",IF(AE203="","—",IF(AE203&lt;='⚙️ SUPUESTOS'!$C$32,"✔ Muy recomendable",IF(AE203&lt;='⚙️ SUPUESTOS'!$C$33,"✔ Recomendable","Valorar"))))</f>
        <v>Valorar</v>
      </c>
      <c r="AG203" s="68">
        <f>IF('📇 INVENTARIO'!O204="","",'📇 INVENTARIO'!O204)</f>
        <v>41.646301999999999</v>
      </c>
      <c r="AH203" s="68">
        <f>IF('📇 INVENTARIO'!P204="","",'📇 INVENTARIO'!P204)</f>
        <v>-4.7077479999999996</v>
      </c>
    </row>
    <row r="204" spans="1:34" ht="45" customHeight="1">
      <c r="A204" s="69">
        <f>IF($C204="","",RANK(O204,$O$3:$O$265,0)+COUNTIF($O$3:O204,O204)-1)</f>
        <v>202</v>
      </c>
      <c r="B204" s="70" t="str">
        <f>IF($C204="","",IF(A204&lt;='⚙️ SUPUESTOS'!$C$29,"Fase 1",IF(A204&lt;='⚙️ SUPUESTOS'!$C$30,"Fase 2","Fase 3")))</f>
        <v>Fase 3</v>
      </c>
      <c r="C204" s="71" t="str">
        <f>IF('📇 INVENTARIO'!B205="","",'📇 INVENTARIO'!B205)</f>
        <v>C/ Gallo, 20</v>
      </c>
      <c r="D204" s="70" t="str">
        <f>IF('📇 INVENTARIO'!C205="","",'📇 INVENTARIO'!C205)</f>
        <v>7922501UM5172B</v>
      </c>
      <c r="E204" s="70" t="str">
        <f>IF('📇 INVENTARIO'!D205="","",'📇 INVENTARIO'!D205)</f>
        <v>4718606025</v>
      </c>
      <c r="F204" s="70" t="str">
        <f>IF('📇 INVENTARIO'!F205="","",'📇 INVENTARIO'!F205)</f>
        <v>E</v>
      </c>
      <c r="G204" s="72">
        <f>IF('📇 INVENTARIO'!G205="","",'📇 INVENTARIO'!G205)</f>
        <v>205</v>
      </c>
      <c r="H204" s="72">
        <f>IF('📇 INVENTARIO'!H205="","",'📇 INVENTARIO'!H205)</f>
        <v>43</v>
      </c>
      <c r="I204" s="72">
        <f>IF('📇 INVENTARIO'!I205="","",'📇 INVENTARIO'!I205)</f>
        <v>117.6</v>
      </c>
      <c r="J204" s="72">
        <f>IF('📇 INVENTARIO'!J205="","",'📇 INVENTARIO'!J205)</f>
        <v>1969</v>
      </c>
      <c r="K204" s="73">
        <f>IF($C204="","",(G204-'⚙️ SUPUESTOS'!$C$20)/('⚙️ SUPUESTOS'!$C$25-'⚙️ SUPUESTOS'!$C$20))</f>
        <v>0.10671256454388985</v>
      </c>
      <c r="L204" s="73">
        <f>IF($C204="","",VLOOKUP($E204,'📊 SECCIONES'!$B$4:$S$9,16,FALSE()))</f>
        <v>0</v>
      </c>
      <c r="M204" s="73">
        <f>IF($C204="","",VLOOKUP($E204,'📊 SECCIONES'!$B$4:$S$9,17,FALSE()))</f>
        <v>0</v>
      </c>
      <c r="N204" s="73">
        <f>IF($C204="","",VLOOKUP($E204,'📊 SECCIONES'!$B$4:$S$9,18,FALSE()))</f>
        <v>0.57727272727272727</v>
      </c>
      <c r="O204" s="74">
        <f>IF($C204="","",ROUND('⚙️ SUPUESTOS'!$C$21*K204+'⚙️ SUPUESTOS'!$C$22*L204+'⚙️ SUPUESTOS'!$C$23*M204+'⚙️ SUPUESTOS'!$C$24*N204,4))</f>
        <v>0.1106</v>
      </c>
      <c r="P204" s="75">
        <f>IF($C204="","",VLOOKUP($E204,'📊 SECCIONES'!$B$4:$S$9,7,FALSE()))</f>
        <v>20.3</v>
      </c>
      <c r="Q204" s="76">
        <f>IF($C204="","",VLOOKUP($E204,'📊 SECCIONES'!$B$4:$S$9,8,FALSE()))</f>
        <v>26404</v>
      </c>
      <c r="R204" s="75">
        <f>IF($C204="","",VLOOKUP($E204,'📊 SECCIONES'!$B$4:$S$9,10,FALSE()))</f>
        <v>23.3</v>
      </c>
      <c r="S204" s="72">
        <f>IF('📇 INVENTARIO'!K205="","",'📇 INVENTARIO'!K205)</f>
        <v>6</v>
      </c>
      <c r="T204" s="77" t="str">
        <f t="shared" si="12"/>
        <v>Objetivo: alcanzar calificación C. Actual: Cal.E. SATE fachada + carpinterías doble + instalación fotovoltaica</v>
      </c>
      <c r="U204" s="70" t="str">
        <f t="shared" si="13"/>
        <v>Valorar ascensor (verificar)</v>
      </c>
      <c r="V204" s="78">
        <f>IF('📇 INVENTARIO'!L205="","",'📇 INVENTARIO'!L205)</f>
        <v>589.6</v>
      </c>
      <c r="W204" s="75">
        <f>IF($C204="","",V204*'⚙️ SUPUESTOS'!$C$8*'⚙️ SUPUESTOS'!$C$9)</f>
        <v>123.816</v>
      </c>
      <c r="X204" s="78">
        <f>IF('📇 INVENTARIO'!N205="","",'📇 INVENTARIO'!N205)</f>
        <v>1444</v>
      </c>
      <c r="Y204" s="78">
        <f>IF($C204="","",W204*X204*'⚙️ SUPUESTOS'!$C$7)</f>
        <v>160911.27360000001</v>
      </c>
      <c r="Z204" s="76">
        <f>IF($C204="","",W204*'⚙️ SUPUESTOS'!$C$10)</f>
        <v>165294.36000000002</v>
      </c>
      <c r="AA204" s="76">
        <f>IF($C204="","",Y204*('⚙️ SUPUESTOS'!$C$12*'⚙️ SUPUESTOS'!$C$11+(1-'⚙️ SUPUESTOS'!$C$12)*'⚙️ SUPUESTOS'!$C$13))</f>
        <v>10974.148859520003</v>
      </c>
      <c r="AB204" s="76">
        <f>IF($C204="","",IF(Y204&gt;0,ROUND(Y204*'⚙️ SUPUESTOS'!$C$12*'⚙️ SUPUESTOS'!$C$11,0),""))</f>
        <v>4023</v>
      </c>
      <c r="AC204" s="76">
        <f>IF($C204="","",IF(Y204&gt;0,ROUND(Y204*(1-'⚙️ SUPUESTOS'!$C$12)*'⚙️ SUPUESTOS'!$C$13,0),""))</f>
        <v>6951</v>
      </c>
      <c r="AD204" s="76">
        <f t="shared" si="14"/>
        <v>109059</v>
      </c>
      <c r="AE204" s="75">
        <f t="shared" si="15"/>
        <v>15.062157632079888</v>
      </c>
      <c r="AF204" s="70" t="str">
        <f>IF($C204="","",IF(AE204="","—",IF(AE204&lt;='⚙️ SUPUESTOS'!$C$32,"✔ Muy recomendable",IF(AE204&lt;='⚙️ SUPUESTOS'!$C$33,"✔ Recomendable","Valorar"))))</f>
        <v>✔ Recomendable</v>
      </c>
      <c r="AG204" s="79">
        <f>IF('📇 INVENTARIO'!O205="","",'📇 INVENTARIO'!O205)</f>
        <v>41.647109999999998</v>
      </c>
      <c r="AH204" s="79">
        <f>IF('📇 INVENTARIO'!P205="","",'📇 INVENTARIO'!P205)</f>
        <v>-4.7080099999999998</v>
      </c>
    </row>
    <row r="205" spans="1:34" ht="45" customHeight="1">
      <c r="A205" s="58">
        <f>IF($C205="","",RANK(O205,$O$3:$O$265,0)+COUNTIF($O$3:O205,O205)-1)</f>
        <v>203</v>
      </c>
      <c r="B205" s="59" t="str">
        <f>IF($C205="","",IF(A205&lt;='⚙️ SUPUESTOS'!$C$29,"Fase 1",IF(A205&lt;='⚙️ SUPUESTOS'!$C$30,"Fase 2","Fase 3")))</f>
        <v>Fase 3</v>
      </c>
      <c r="C205" s="60" t="str">
        <f>IF('📇 INVENTARIO'!B206="","",'📇 INVENTARIO'!B206)</f>
        <v>C/ Juan Carlos I, 87</v>
      </c>
      <c r="D205" s="59" t="str">
        <f>IF('📇 INVENTARIO'!C206="","",'📇 INVENTARIO'!C206)</f>
        <v>7922508UM5172B</v>
      </c>
      <c r="E205" s="59" t="str">
        <f>IF('📇 INVENTARIO'!D206="","",'📇 INVENTARIO'!D206)</f>
        <v>4718606025</v>
      </c>
      <c r="F205" s="59" t="str">
        <f>IF('📇 INVENTARIO'!F206="","",'📇 INVENTARIO'!F206)</f>
        <v>E</v>
      </c>
      <c r="G205" s="61">
        <f>IF('📇 INVENTARIO'!G206="","",'📇 INVENTARIO'!G206)</f>
        <v>174</v>
      </c>
      <c r="H205" s="61">
        <f>IF('📇 INVENTARIO'!H206="","",'📇 INVENTARIO'!H206)</f>
        <v>37</v>
      </c>
      <c r="I205" s="61">
        <f>IF('📇 INVENTARIO'!I206="","",'📇 INVENTARIO'!I206)</f>
        <v>65.2</v>
      </c>
      <c r="J205" s="61">
        <f>IF('📇 INVENTARIO'!J206="","",'📇 INVENTARIO'!J206)</f>
        <v>1970</v>
      </c>
      <c r="K205" s="62">
        <f>IF($C205="","",(G205-'⚙️ SUPUESTOS'!$C$20)/('⚙️ SUPUESTOS'!$C$25-'⚙️ SUPUESTOS'!$C$20))</f>
        <v>5.3356282271944923E-2</v>
      </c>
      <c r="L205" s="62">
        <f>IF($C205="","",VLOOKUP($E205,'📊 SECCIONES'!$B$4:$S$9,16,FALSE()))</f>
        <v>0</v>
      </c>
      <c r="M205" s="62">
        <f>IF($C205="","",VLOOKUP($E205,'📊 SECCIONES'!$B$4:$S$9,17,FALSE()))</f>
        <v>0</v>
      </c>
      <c r="N205" s="62">
        <f>IF($C205="","",VLOOKUP($E205,'📊 SECCIONES'!$B$4:$S$9,18,FALSE()))</f>
        <v>0.57727272727272727</v>
      </c>
      <c r="O205" s="63">
        <f>IF($C205="","",ROUND('⚙️ SUPUESTOS'!$C$21*K205+'⚙️ SUPUESTOS'!$C$22*L205+'⚙️ SUPUESTOS'!$C$23*M205+'⚙️ SUPUESTOS'!$C$24*N205,4))</f>
        <v>8.1299999999999997E-2</v>
      </c>
      <c r="P205" s="64">
        <f>IF($C205="","",VLOOKUP($E205,'📊 SECCIONES'!$B$4:$S$9,7,FALSE()))</f>
        <v>20.3</v>
      </c>
      <c r="Q205" s="65">
        <f>IF($C205="","",VLOOKUP($E205,'📊 SECCIONES'!$B$4:$S$9,8,FALSE()))</f>
        <v>26404</v>
      </c>
      <c r="R205" s="64">
        <f>IF($C205="","",VLOOKUP($E205,'📊 SECCIONES'!$B$4:$S$9,10,FALSE()))</f>
        <v>23.3</v>
      </c>
      <c r="S205" s="61">
        <f>IF('📇 INVENTARIO'!K206="","",'📇 INVENTARIO'!K206)</f>
        <v>5</v>
      </c>
      <c r="T205" s="66" t="str">
        <f t="shared" si="12"/>
        <v>Objetivo: alcanzar calificación C. Actual: Cal.E. SATE fachada + carpinterías doble + instalación fotovoltaica</v>
      </c>
      <c r="U205" s="59" t="str">
        <f t="shared" si="13"/>
        <v>Valorar ascensor (verificar)</v>
      </c>
      <c r="V205" s="67">
        <f>IF('📇 INVENTARIO'!L206="","",'📇 INVENTARIO'!L206)</f>
        <v>417</v>
      </c>
      <c r="W205" s="64">
        <f>IF($C205="","",V205*'⚙️ SUPUESTOS'!$C$8*'⚙️ SUPUESTOS'!$C$9)</f>
        <v>87.57</v>
      </c>
      <c r="X205" s="67">
        <f>IF('📇 INVENTARIO'!N206="","",'📇 INVENTARIO'!N206)</f>
        <v>1519</v>
      </c>
      <c r="Y205" s="67">
        <f>IF($C205="","",W205*X205*'⚙️ SUPUESTOS'!$C$7)</f>
        <v>119716.94699999999</v>
      </c>
      <c r="Z205" s="65">
        <f>IF($C205="","",W205*'⚙️ SUPUESTOS'!$C$10)</f>
        <v>116905.95</v>
      </c>
      <c r="AA205" s="65">
        <f>IF($C205="","",Y205*('⚙️ SUPUESTOS'!$C$12*'⚙️ SUPUESTOS'!$C$11+(1-'⚙️ SUPUESTOS'!$C$12)*'⚙️ SUPUESTOS'!$C$13))</f>
        <v>8164.6957854000002</v>
      </c>
      <c r="AB205" s="65">
        <f>IF($C205="","",IF(Y205&gt;0,ROUND(Y205*'⚙️ SUPUESTOS'!$C$12*'⚙️ SUPUESTOS'!$C$11,0),""))</f>
        <v>2993</v>
      </c>
      <c r="AC205" s="65">
        <f>IF($C205="","",IF(Y205&gt;0,ROUND(Y205*(1-'⚙️ SUPUESTOS'!$C$12)*'⚙️ SUPUESTOS'!$C$13,0),""))</f>
        <v>5172</v>
      </c>
      <c r="AD205" s="65">
        <f t="shared" si="14"/>
        <v>87211</v>
      </c>
      <c r="AE205" s="64">
        <f t="shared" si="15"/>
        <v>14.318469796394577</v>
      </c>
      <c r="AF205" s="59" t="str">
        <f>IF($C205="","",IF(AE205="","—",IF(AE205&lt;='⚙️ SUPUESTOS'!$C$32,"✔ Muy recomendable",IF(AE205&lt;='⚙️ SUPUESTOS'!$C$33,"✔ Recomendable","Valorar"))))</f>
        <v>✔ Muy recomendable</v>
      </c>
      <c r="AG205" s="68">
        <f>IF('📇 INVENTARIO'!O206="","",'📇 INVENTARIO'!O206)</f>
        <v>41.646650000000001</v>
      </c>
      <c r="AH205" s="68">
        <f>IF('📇 INVENTARIO'!P206="","",'📇 INVENTARIO'!P206)</f>
        <v>-4.70723</v>
      </c>
    </row>
    <row r="206" spans="1:34" ht="45" customHeight="1">
      <c r="A206" s="69" t="str">
        <f>IF($C206="","",RANK(O206,$O$3:$O$265,0)+COUNTIF($O$3:O206,O206)-1)</f>
        <v/>
      </c>
      <c r="B206" s="70" t="str">
        <f>IF($C206="","",IF(A206&lt;='⚙️ SUPUESTOS'!$C$29,"Fase 1",IF(A206&lt;='⚙️ SUPUESTOS'!$C$30,"Fase 2","Fase 3")))</f>
        <v/>
      </c>
      <c r="C206" s="71" t="str">
        <f>IF('📇 INVENTARIO'!B207="","",'📇 INVENTARIO'!B207)</f>
        <v/>
      </c>
      <c r="D206" s="70" t="str">
        <f>IF('📇 INVENTARIO'!C207="","",'📇 INVENTARIO'!C207)</f>
        <v/>
      </c>
      <c r="E206" s="70" t="str">
        <f>IF('📇 INVENTARIO'!D207="","",'📇 INVENTARIO'!D207)</f>
        <v/>
      </c>
      <c r="F206" s="70" t="str">
        <f>IF('📇 INVENTARIO'!F207="","",'📇 INVENTARIO'!F207)</f>
        <v/>
      </c>
      <c r="G206" s="72" t="str">
        <f>IF('📇 INVENTARIO'!G207="","",'📇 INVENTARIO'!G207)</f>
        <v/>
      </c>
      <c r="H206" s="72" t="str">
        <f>IF('📇 INVENTARIO'!H207="","",'📇 INVENTARIO'!H207)</f>
        <v/>
      </c>
      <c r="I206" s="72" t="str">
        <f>IF('📇 INVENTARIO'!I207="","",'📇 INVENTARIO'!I207)</f>
        <v/>
      </c>
      <c r="J206" s="72" t="str">
        <f>IF('📇 INVENTARIO'!J207="","",'📇 INVENTARIO'!J207)</f>
        <v/>
      </c>
      <c r="K206" s="73" t="str">
        <f>IF($C206="","",(G206-'⚙️ SUPUESTOS'!$C$20)/('⚙️ SUPUESTOS'!$C$25-'⚙️ SUPUESTOS'!$C$20))</f>
        <v/>
      </c>
      <c r="L206" s="73" t="str">
        <f>IF($C206="","",VLOOKUP($E206,'📊 SECCIONES'!$B$4:$S$9,16,FALSE()))</f>
        <v/>
      </c>
      <c r="M206" s="73" t="str">
        <f>IF($C206="","",VLOOKUP($E206,'📊 SECCIONES'!$B$4:$S$9,17,FALSE()))</f>
        <v/>
      </c>
      <c r="N206" s="73" t="str">
        <f>IF($C206="","",VLOOKUP($E206,'📊 SECCIONES'!$B$4:$S$9,18,FALSE()))</f>
        <v/>
      </c>
      <c r="O206" s="74" t="str">
        <f>IF($C206="","",ROUND('⚙️ SUPUESTOS'!$C$21*K206+'⚙️ SUPUESTOS'!$C$22*L206+'⚙️ SUPUESTOS'!$C$23*M206+'⚙️ SUPUESTOS'!$C$24*N206,4))</f>
        <v/>
      </c>
      <c r="P206" s="75" t="str">
        <f>IF($C206="","",VLOOKUP($E206,'📊 SECCIONES'!$B$4:$S$9,7,FALSE()))</f>
        <v/>
      </c>
      <c r="Q206" s="76" t="str">
        <f>IF($C206="","",VLOOKUP($E206,'📊 SECCIONES'!$B$4:$S$9,8,FALSE()))</f>
        <v/>
      </c>
      <c r="R206" s="75" t="str">
        <f>IF($C206="","",VLOOKUP($E206,'📊 SECCIONES'!$B$4:$S$9,10,FALSE()))</f>
        <v/>
      </c>
      <c r="S206" s="70" t="str">
        <f>IF('📇 INVENTARIO'!K207="","",'📇 INVENTARIO'!K207)</f>
        <v/>
      </c>
      <c r="T206" s="77" t="str">
        <f t="shared" si="12"/>
        <v/>
      </c>
      <c r="U206" s="70" t="str">
        <f t="shared" si="13"/>
        <v/>
      </c>
      <c r="V206" s="78" t="str">
        <f>IF('📇 INVENTARIO'!L207="","",'📇 INVENTARIO'!L207)</f>
        <v/>
      </c>
      <c r="W206" s="75" t="str">
        <f>IF($C206="","",V206*'⚙️ SUPUESTOS'!$C$8*'⚙️ SUPUESTOS'!$C$9)</f>
        <v/>
      </c>
      <c r="X206" s="78" t="str">
        <f>IF('📇 INVENTARIO'!N207="","",'📇 INVENTARIO'!N207)</f>
        <v/>
      </c>
      <c r="Y206" s="78" t="str">
        <f>IF($C206="","",W206*X206*'⚙️ SUPUESTOS'!$C$7)</f>
        <v/>
      </c>
      <c r="Z206" s="76" t="str">
        <f>IF($C206="","",W206*'⚙️ SUPUESTOS'!$C$10)</f>
        <v/>
      </c>
      <c r="AA206" s="76" t="str">
        <f>IF($C206="","",Y206*('⚙️ SUPUESTOS'!$C$12*'⚙️ SUPUESTOS'!$C$11+(1-'⚙️ SUPUESTOS'!$C$12)*'⚙️ SUPUESTOS'!$C$13))</f>
        <v/>
      </c>
      <c r="AB206" s="76" t="str">
        <f>IF($C206="","",IF(Y206&gt;0,ROUND(Y206*'⚙️ SUPUESTOS'!$C$12*'⚙️ SUPUESTOS'!$C$11,0),""))</f>
        <v/>
      </c>
      <c r="AC206" s="76" t="str">
        <f>IF($C206="","",IF(Y206&gt;0,ROUND(Y206*(1-'⚙️ SUPUESTOS'!$C$12)*'⚙️ SUPUESTOS'!$C$13,0),""))</f>
        <v/>
      </c>
      <c r="AD206" s="76" t="str">
        <f t="shared" si="14"/>
        <v/>
      </c>
      <c r="AE206" s="75" t="str">
        <f t="shared" si="15"/>
        <v/>
      </c>
      <c r="AF206" s="70" t="str">
        <f>IF($C206="","",IF(AE206="","—",IF(AE206&lt;='⚙️ SUPUESTOS'!$C$32,"✔ Muy recomendable",IF(AE206&lt;='⚙️ SUPUESTOS'!$C$33,"✔ Recomendable","Valorar"))))</f>
        <v/>
      </c>
      <c r="AG206" s="79" t="str">
        <f>IF('📇 INVENTARIO'!O207="","",'📇 INVENTARIO'!O207)</f>
        <v/>
      </c>
      <c r="AH206" s="79" t="str">
        <f>IF('📇 INVENTARIO'!P207="","",'📇 INVENTARIO'!P207)</f>
        <v/>
      </c>
    </row>
    <row r="207" spans="1:34" ht="45" customHeight="1">
      <c r="A207" s="58" t="str">
        <f>IF($C207="","",RANK(O207,$O$3:$O$265,0)+COUNTIF($O$3:O207,O207)-1)</f>
        <v/>
      </c>
      <c r="B207" s="59" t="str">
        <f>IF($C207="","",IF(A207&lt;='⚙️ SUPUESTOS'!$C$29,"Fase 1",IF(A207&lt;='⚙️ SUPUESTOS'!$C$30,"Fase 2","Fase 3")))</f>
        <v/>
      </c>
      <c r="C207" s="60" t="str">
        <f>IF('📇 INVENTARIO'!B208="","",'📇 INVENTARIO'!B208)</f>
        <v/>
      </c>
      <c r="D207" s="59" t="str">
        <f>IF('📇 INVENTARIO'!C208="","",'📇 INVENTARIO'!C208)</f>
        <v/>
      </c>
      <c r="E207" s="59" t="str">
        <f>IF('📇 INVENTARIO'!D208="","",'📇 INVENTARIO'!D208)</f>
        <v/>
      </c>
      <c r="F207" s="59" t="str">
        <f>IF('📇 INVENTARIO'!F208="","",'📇 INVENTARIO'!F208)</f>
        <v/>
      </c>
      <c r="G207" s="61" t="str">
        <f>IF('📇 INVENTARIO'!G208="","",'📇 INVENTARIO'!G208)</f>
        <v/>
      </c>
      <c r="H207" s="61" t="str">
        <f>IF('📇 INVENTARIO'!H208="","",'📇 INVENTARIO'!H208)</f>
        <v/>
      </c>
      <c r="I207" s="61" t="str">
        <f>IF('📇 INVENTARIO'!I208="","",'📇 INVENTARIO'!I208)</f>
        <v/>
      </c>
      <c r="J207" s="61" t="str">
        <f>IF('📇 INVENTARIO'!J208="","",'📇 INVENTARIO'!J208)</f>
        <v/>
      </c>
      <c r="K207" s="62" t="str">
        <f>IF($C207="","",(G207-'⚙️ SUPUESTOS'!$C$20)/('⚙️ SUPUESTOS'!$C$25-'⚙️ SUPUESTOS'!$C$20))</f>
        <v/>
      </c>
      <c r="L207" s="62" t="str">
        <f>IF($C207="","",VLOOKUP($E207,'📊 SECCIONES'!$B$4:$S$9,16,FALSE()))</f>
        <v/>
      </c>
      <c r="M207" s="62" t="str">
        <f>IF($C207="","",VLOOKUP($E207,'📊 SECCIONES'!$B$4:$S$9,17,FALSE()))</f>
        <v/>
      </c>
      <c r="N207" s="62" t="str">
        <f>IF($C207="","",VLOOKUP($E207,'📊 SECCIONES'!$B$4:$S$9,18,FALSE()))</f>
        <v/>
      </c>
      <c r="O207" s="63" t="str">
        <f>IF($C207="","",ROUND('⚙️ SUPUESTOS'!$C$21*K207+'⚙️ SUPUESTOS'!$C$22*L207+'⚙️ SUPUESTOS'!$C$23*M207+'⚙️ SUPUESTOS'!$C$24*N207,4))</f>
        <v/>
      </c>
      <c r="P207" s="64" t="str">
        <f>IF($C207="","",VLOOKUP($E207,'📊 SECCIONES'!$B$4:$S$9,7,FALSE()))</f>
        <v/>
      </c>
      <c r="Q207" s="65" t="str">
        <f>IF($C207="","",VLOOKUP($E207,'📊 SECCIONES'!$B$4:$S$9,8,FALSE()))</f>
        <v/>
      </c>
      <c r="R207" s="64" t="str">
        <f>IF($C207="","",VLOOKUP($E207,'📊 SECCIONES'!$B$4:$S$9,10,FALSE()))</f>
        <v/>
      </c>
      <c r="S207" s="59" t="str">
        <f>IF('📇 INVENTARIO'!K208="","",'📇 INVENTARIO'!K208)</f>
        <v/>
      </c>
      <c r="T207" s="66" t="str">
        <f t="shared" si="12"/>
        <v/>
      </c>
      <c r="U207" s="59" t="str">
        <f t="shared" si="13"/>
        <v/>
      </c>
      <c r="V207" s="67" t="str">
        <f>IF('📇 INVENTARIO'!L208="","",'📇 INVENTARIO'!L208)</f>
        <v/>
      </c>
      <c r="W207" s="64" t="str">
        <f>IF($C207="","",V207*'⚙️ SUPUESTOS'!$C$8*'⚙️ SUPUESTOS'!$C$9)</f>
        <v/>
      </c>
      <c r="X207" s="67" t="str">
        <f>IF('📇 INVENTARIO'!N208="","",'📇 INVENTARIO'!N208)</f>
        <v/>
      </c>
      <c r="Y207" s="67" t="str">
        <f>IF($C207="","",W207*X207*'⚙️ SUPUESTOS'!$C$7)</f>
        <v/>
      </c>
      <c r="Z207" s="65" t="str">
        <f>IF($C207="","",W207*'⚙️ SUPUESTOS'!$C$10)</f>
        <v/>
      </c>
      <c r="AA207" s="65" t="str">
        <f>IF($C207="","",Y207*('⚙️ SUPUESTOS'!$C$12*'⚙️ SUPUESTOS'!$C$11+(1-'⚙️ SUPUESTOS'!$C$12)*'⚙️ SUPUESTOS'!$C$13))</f>
        <v/>
      </c>
      <c r="AB207" s="65" t="str">
        <f>IF($C207="","",IF(Y207&gt;0,ROUND(Y207*'⚙️ SUPUESTOS'!$C$12*'⚙️ SUPUESTOS'!$C$11,0),""))</f>
        <v/>
      </c>
      <c r="AC207" s="65" t="str">
        <f>IF($C207="","",IF(Y207&gt;0,ROUND(Y207*(1-'⚙️ SUPUESTOS'!$C$12)*'⚙️ SUPUESTOS'!$C$13,0),""))</f>
        <v/>
      </c>
      <c r="AD207" s="65" t="str">
        <f t="shared" si="14"/>
        <v/>
      </c>
      <c r="AE207" s="64" t="str">
        <f t="shared" si="15"/>
        <v/>
      </c>
      <c r="AF207" s="59" t="str">
        <f>IF($C207="","",IF(AE207="","—",IF(AE207&lt;='⚙️ SUPUESTOS'!$C$32,"✔ Muy recomendable",IF(AE207&lt;='⚙️ SUPUESTOS'!$C$33,"✔ Recomendable","Valorar"))))</f>
        <v/>
      </c>
      <c r="AG207" s="68" t="str">
        <f>IF('📇 INVENTARIO'!O208="","",'📇 INVENTARIO'!O208)</f>
        <v/>
      </c>
      <c r="AH207" s="68" t="str">
        <f>IF('📇 INVENTARIO'!P208="","",'📇 INVENTARIO'!P208)</f>
        <v/>
      </c>
    </row>
    <row r="208" spans="1:34" ht="45" customHeight="1">
      <c r="A208" s="69" t="str">
        <f>IF($C208="","",RANK(O208,$O$3:$O$265,0)+COUNTIF($O$3:O208,O208)-1)</f>
        <v/>
      </c>
      <c r="B208" s="70" t="str">
        <f>IF($C208="","",IF(A208&lt;='⚙️ SUPUESTOS'!$C$29,"Fase 1",IF(A208&lt;='⚙️ SUPUESTOS'!$C$30,"Fase 2","Fase 3")))</f>
        <v/>
      </c>
      <c r="C208" s="71" t="str">
        <f>IF('📇 INVENTARIO'!B209="","",'📇 INVENTARIO'!B209)</f>
        <v/>
      </c>
      <c r="D208" s="70" t="str">
        <f>IF('📇 INVENTARIO'!C209="","",'📇 INVENTARIO'!C209)</f>
        <v/>
      </c>
      <c r="E208" s="70" t="str">
        <f>IF('📇 INVENTARIO'!D209="","",'📇 INVENTARIO'!D209)</f>
        <v/>
      </c>
      <c r="F208" s="70" t="str">
        <f>IF('📇 INVENTARIO'!F209="","",'📇 INVENTARIO'!F209)</f>
        <v/>
      </c>
      <c r="G208" s="72" t="str">
        <f>IF('📇 INVENTARIO'!G209="","",'📇 INVENTARIO'!G209)</f>
        <v/>
      </c>
      <c r="H208" s="72" t="str">
        <f>IF('📇 INVENTARIO'!H209="","",'📇 INVENTARIO'!H209)</f>
        <v/>
      </c>
      <c r="I208" s="72" t="str">
        <f>IF('📇 INVENTARIO'!I209="","",'📇 INVENTARIO'!I209)</f>
        <v/>
      </c>
      <c r="J208" s="72" t="str">
        <f>IF('📇 INVENTARIO'!J209="","",'📇 INVENTARIO'!J209)</f>
        <v/>
      </c>
      <c r="K208" s="73" t="str">
        <f>IF($C208="","",(G208-'⚙️ SUPUESTOS'!$C$20)/('⚙️ SUPUESTOS'!$C$25-'⚙️ SUPUESTOS'!$C$20))</f>
        <v/>
      </c>
      <c r="L208" s="73" t="str">
        <f>IF($C208="","",VLOOKUP($E208,'📊 SECCIONES'!$B$4:$S$9,16,FALSE()))</f>
        <v/>
      </c>
      <c r="M208" s="73" t="str">
        <f>IF($C208="","",VLOOKUP($E208,'📊 SECCIONES'!$B$4:$S$9,17,FALSE()))</f>
        <v/>
      </c>
      <c r="N208" s="73" t="str">
        <f>IF($C208="","",VLOOKUP($E208,'📊 SECCIONES'!$B$4:$S$9,18,FALSE()))</f>
        <v/>
      </c>
      <c r="O208" s="74" t="str">
        <f>IF($C208="","",ROUND('⚙️ SUPUESTOS'!$C$21*K208+'⚙️ SUPUESTOS'!$C$22*L208+'⚙️ SUPUESTOS'!$C$23*M208+'⚙️ SUPUESTOS'!$C$24*N208,4))</f>
        <v/>
      </c>
      <c r="P208" s="75" t="str">
        <f>IF($C208="","",VLOOKUP($E208,'📊 SECCIONES'!$B$4:$S$9,7,FALSE()))</f>
        <v/>
      </c>
      <c r="Q208" s="76" t="str">
        <f>IF($C208="","",VLOOKUP($E208,'📊 SECCIONES'!$B$4:$S$9,8,FALSE()))</f>
        <v/>
      </c>
      <c r="R208" s="75" t="str">
        <f>IF($C208="","",VLOOKUP($E208,'📊 SECCIONES'!$B$4:$S$9,10,FALSE()))</f>
        <v/>
      </c>
      <c r="S208" s="70" t="str">
        <f>IF('📇 INVENTARIO'!K209="","",'📇 INVENTARIO'!K209)</f>
        <v/>
      </c>
      <c r="T208" s="77" t="str">
        <f t="shared" si="12"/>
        <v/>
      </c>
      <c r="U208" s="70" t="str">
        <f t="shared" si="13"/>
        <v/>
      </c>
      <c r="V208" s="78" t="str">
        <f>IF('📇 INVENTARIO'!L209="","",'📇 INVENTARIO'!L209)</f>
        <v/>
      </c>
      <c r="W208" s="75" t="str">
        <f>IF($C208="","",V208*'⚙️ SUPUESTOS'!$C$8*'⚙️ SUPUESTOS'!$C$9)</f>
        <v/>
      </c>
      <c r="X208" s="78" t="str">
        <f>IF('📇 INVENTARIO'!N209="","",'📇 INVENTARIO'!N209)</f>
        <v/>
      </c>
      <c r="Y208" s="78" t="str">
        <f>IF($C208="","",W208*X208*'⚙️ SUPUESTOS'!$C$7)</f>
        <v/>
      </c>
      <c r="Z208" s="76" t="str">
        <f>IF($C208="","",W208*'⚙️ SUPUESTOS'!$C$10)</f>
        <v/>
      </c>
      <c r="AA208" s="76" t="str">
        <f>IF($C208="","",Y208*('⚙️ SUPUESTOS'!$C$12*'⚙️ SUPUESTOS'!$C$11+(1-'⚙️ SUPUESTOS'!$C$12)*'⚙️ SUPUESTOS'!$C$13))</f>
        <v/>
      </c>
      <c r="AB208" s="76" t="str">
        <f>IF($C208="","",IF(Y208&gt;0,ROUND(Y208*'⚙️ SUPUESTOS'!$C$12*'⚙️ SUPUESTOS'!$C$11,0),""))</f>
        <v/>
      </c>
      <c r="AC208" s="76" t="str">
        <f>IF($C208="","",IF(Y208&gt;0,ROUND(Y208*(1-'⚙️ SUPUESTOS'!$C$12)*'⚙️ SUPUESTOS'!$C$13,0),""))</f>
        <v/>
      </c>
      <c r="AD208" s="76" t="str">
        <f t="shared" si="14"/>
        <v/>
      </c>
      <c r="AE208" s="75" t="str">
        <f t="shared" si="15"/>
        <v/>
      </c>
      <c r="AF208" s="70" t="str">
        <f>IF($C208="","",IF(AE208="","—",IF(AE208&lt;='⚙️ SUPUESTOS'!$C$32,"✔ Muy recomendable",IF(AE208&lt;='⚙️ SUPUESTOS'!$C$33,"✔ Recomendable","Valorar"))))</f>
        <v/>
      </c>
      <c r="AG208" s="79" t="str">
        <f>IF('📇 INVENTARIO'!O209="","",'📇 INVENTARIO'!O209)</f>
        <v/>
      </c>
      <c r="AH208" s="79" t="str">
        <f>IF('📇 INVENTARIO'!P209="","",'📇 INVENTARIO'!P209)</f>
        <v/>
      </c>
    </row>
    <row r="209" spans="1:34" ht="45" customHeight="1">
      <c r="A209" s="58" t="str">
        <f>IF($C209="","",RANK(O209,$O$3:$O$265,0)+COUNTIF($O$3:O209,O209)-1)</f>
        <v/>
      </c>
      <c r="B209" s="59" t="str">
        <f>IF($C209="","",IF(A209&lt;='⚙️ SUPUESTOS'!$C$29,"Fase 1",IF(A209&lt;='⚙️ SUPUESTOS'!$C$30,"Fase 2","Fase 3")))</f>
        <v/>
      </c>
      <c r="C209" s="60" t="str">
        <f>IF('📇 INVENTARIO'!B210="","",'📇 INVENTARIO'!B210)</f>
        <v/>
      </c>
      <c r="D209" s="59" t="str">
        <f>IF('📇 INVENTARIO'!C210="","",'📇 INVENTARIO'!C210)</f>
        <v/>
      </c>
      <c r="E209" s="59" t="str">
        <f>IF('📇 INVENTARIO'!D210="","",'📇 INVENTARIO'!D210)</f>
        <v/>
      </c>
      <c r="F209" s="59" t="str">
        <f>IF('📇 INVENTARIO'!F210="","",'📇 INVENTARIO'!F210)</f>
        <v/>
      </c>
      <c r="G209" s="61" t="str">
        <f>IF('📇 INVENTARIO'!G210="","",'📇 INVENTARIO'!G210)</f>
        <v/>
      </c>
      <c r="H209" s="61" t="str">
        <f>IF('📇 INVENTARIO'!H210="","",'📇 INVENTARIO'!H210)</f>
        <v/>
      </c>
      <c r="I209" s="61" t="str">
        <f>IF('📇 INVENTARIO'!I210="","",'📇 INVENTARIO'!I210)</f>
        <v/>
      </c>
      <c r="J209" s="61" t="str">
        <f>IF('📇 INVENTARIO'!J210="","",'📇 INVENTARIO'!J210)</f>
        <v/>
      </c>
      <c r="K209" s="62" t="str">
        <f>IF($C209="","",(G209-'⚙️ SUPUESTOS'!$C$20)/('⚙️ SUPUESTOS'!$C$25-'⚙️ SUPUESTOS'!$C$20))</f>
        <v/>
      </c>
      <c r="L209" s="62" t="str">
        <f>IF($C209="","",VLOOKUP($E209,'📊 SECCIONES'!$B$4:$S$9,16,FALSE()))</f>
        <v/>
      </c>
      <c r="M209" s="62" t="str">
        <f>IF($C209="","",VLOOKUP($E209,'📊 SECCIONES'!$B$4:$S$9,17,FALSE()))</f>
        <v/>
      </c>
      <c r="N209" s="62" t="str">
        <f>IF($C209="","",VLOOKUP($E209,'📊 SECCIONES'!$B$4:$S$9,18,FALSE()))</f>
        <v/>
      </c>
      <c r="O209" s="63" t="str">
        <f>IF($C209="","",ROUND('⚙️ SUPUESTOS'!$C$21*K209+'⚙️ SUPUESTOS'!$C$22*L209+'⚙️ SUPUESTOS'!$C$23*M209+'⚙️ SUPUESTOS'!$C$24*N209,4))</f>
        <v/>
      </c>
      <c r="P209" s="64" t="str">
        <f>IF($C209="","",VLOOKUP($E209,'📊 SECCIONES'!$B$4:$S$9,7,FALSE()))</f>
        <v/>
      </c>
      <c r="Q209" s="65" t="str">
        <f>IF($C209="","",VLOOKUP($E209,'📊 SECCIONES'!$B$4:$S$9,8,FALSE()))</f>
        <v/>
      </c>
      <c r="R209" s="64" t="str">
        <f>IF($C209="","",VLOOKUP($E209,'📊 SECCIONES'!$B$4:$S$9,10,FALSE()))</f>
        <v/>
      </c>
      <c r="S209" s="59" t="str">
        <f>IF('📇 INVENTARIO'!K210="","",'📇 INVENTARIO'!K210)</f>
        <v/>
      </c>
      <c r="T209" s="66" t="str">
        <f t="shared" si="12"/>
        <v/>
      </c>
      <c r="U209" s="59" t="str">
        <f t="shared" si="13"/>
        <v/>
      </c>
      <c r="V209" s="67" t="str">
        <f>IF('📇 INVENTARIO'!L210="","",'📇 INVENTARIO'!L210)</f>
        <v/>
      </c>
      <c r="W209" s="64" t="str">
        <f>IF($C209="","",V209*'⚙️ SUPUESTOS'!$C$8*'⚙️ SUPUESTOS'!$C$9)</f>
        <v/>
      </c>
      <c r="X209" s="67" t="str">
        <f>IF('📇 INVENTARIO'!N210="","",'📇 INVENTARIO'!N210)</f>
        <v/>
      </c>
      <c r="Y209" s="67" t="str">
        <f>IF($C209="","",W209*X209*'⚙️ SUPUESTOS'!$C$7)</f>
        <v/>
      </c>
      <c r="Z209" s="65" t="str">
        <f>IF($C209="","",W209*'⚙️ SUPUESTOS'!$C$10)</f>
        <v/>
      </c>
      <c r="AA209" s="65" t="str">
        <f>IF($C209="","",Y209*('⚙️ SUPUESTOS'!$C$12*'⚙️ SUPUESTOS'!$C$11+(1-'⚙️ SUPUESTOS'!$C$12)*'⚙️ SUPUESTOS'!$C$13))</f>
        <v/>
      </c>
      <c r="AB209" s="65" t="str">
        <f>IF($C209="","",IF(Y209&gt;0,ROUND(Y209*'⚙️ SUPUESTOS'!$C$12*'⚙️ SUPUESTOS'!$C$11,0),""))</f>
        <v/>
      </c>
      <c r="AC209" s="65" t="str">
        <f>IF($C209="","",IF(Y209&gt;0,ROUND(Y209*(1-'⚙️ SUPUESTOS'!$C$12)*'⚙️ SUPUESTOS'!$C$13,0),""))</f>
        <v/>
      </c>
      <c r="AD209" s="65" t="str">
        <f t="shared" si="14"/>
        <v/>
      </c>
      <c r="AE209" s="64" t="str">
        <f t="shared" si="15"/>
        <v/>
      </c>
      <c r="AF209" s="59" t="str">
        <f>IF($C209="","",IF(AE209="","—",IF(AE209&lt;='⚙️ SUPUESTOS'!$C$32,"✔ Muy recomendable",IF(AE209&lt;='⚙️ SUPUESTOS'!$C$33,"✔ Recomendable","Valorar"))))</f>
        <v/>
      </c>
      <c r="AG209" s="68" t="str">
        <f>IF('📇 INVENTARIO'!O210="","",'📇 INVENTARIO'!O210)</f>
        <v/>
      </c>
      <c r="AH209" s="68" t="str">
        <f>IF('📇 INVENTARIO'!P210="","",'📇 INVENTARIO'!P210)</f>
        <v/>
      </c>
    </row>
    <row r="210" spans="1:34" ht="45" customHeight="1">
      <c r="A210" s="69" t="str">
        <f>IF($C210="","",RANK(O210,$O$3:$O$265,0)+COUNTIF($O$3:O210,O210)-1)</f>
        <v/>
      </c>
      <c r="B210" s="70" t="str">
        <f>IF($C210="","",IF(A210&lt;='⚙️ SUPUESTOS'!$C$29,"Fase 1",IF(A210&lt;='⚙️ SUPUESTOS'!$C$30,"Fase 2","Fase 3")))</f>
        <v/>
      </c>
      <c r="C210" s="71" t="str">
        <f>IF('📇 INVENTARIO'!B211="","",'📇 INVENTARIO'!B211)</f>
        <v/>
      </c>
      <c r="D210" s="70" t="str">
        <f>IF('📇 INVENTARIO'!C211="","",'📇 INVENTARIO'!C211)</f>
        <v/>
      </c>
      <c r="E210" s="70" t="str">
        <f>IF('📇 INVENTARIO'!D211="","",'📇 INVENTARIO'!D211)</f>
        <v/>
      </c>
      <c r="F210" s="70" t="str">
        <f>IF('📇 INVENTARIO'!F211="","",'📇 INVENTARIO'!F211)</f>
        <v/>
      </c>
      <c r="G210" s="72" t="str">
        <f>IF('📇 INVENTARIO'!G211="","",'📇 INVENTARIO'!G211)</f>
        <v/>
      </c>
      <c r="H210" s="72" t="str">
        <f>IF('📇 INVENTARIO'!H211="","",'📇 INVENTARIO'!H211)</f>
        <v/>
      </c>
      <c r="I210" s="72" t="str">
        <f>IF('📇 INVENTARIO'!I211="","",'📇 INVENTARIO'!I211)</f>
        <v/>
      </c>
      <c r="J210" s="72" t="str">
        <f>IF('📇 INVENTARIO'!J211="","",'📇 INVENTARIO'!J211)</f>
        <v/>
      </c>
      <c r="K210" s="73" t="str">
        <f>IF($C210="","",(G210-'⚙️ SUPUESTOS'!$C$20)/('⚙️ SUPUESTOS'!$C$25-'⚙️ SUPUESTOS'!$C$20))</f>
        <v/>
      </c>
      <c r="L210" s="73" t="str">
        <f>IF($C210="","",VLOOKUP($E210,'📊 SECCIONES'!$B$4:$S$9,16,FALSE()))</f>
        <v/>
      </c>
      <c r="M210" s="73" t="str">
        <f>IF($C210="","",VLOOKUP($E210,'📊 SECCIONES'!$B$4:$S$9,17,FALSE()))</f>
        <v/>
      </c>
      <c r="N210" s="73" t="str">
        <f>IF($C210="","",VLOOKUP($E210,'📊 SECCIONES'!$B$4:$S$9,18,FALSE()))</f>
        <v/>
      </c>
      <c r="O210" s="74" t="str">
        <f>IF($C210="","",ROUND('⚙️ SUPUESTOS'!$C$21*K210+'⚙️ SUPUESTOS'!$C$22*L210+'⚙️ SUPUESTOS'!$C$23*M210+'⚙️ SUPUESTOS'!$C$24*N210,4))</f>
        <v/>
      </c>
      <c r="P210" s="75" t="str">
        <f>IF($C210="","",VLOOKUP($E210,'📊 SECCIONES'!$B$4:$S$9,7,FALSE()))</f>
        <v/>
      </c>
      <c r="Q210" s="76" t="str">
        <f>IF($C210="","",VLOOKUP($E210,'📊 SECCIONES'!$B$4:$S$9,8,FALSE()))</f>
        <v/>
      </c>
      <c r="R210" s="75" t="str">
        <f>IF($C210="","",VLOOKUP($E210,'📊 SECCIONES'!$B$4:$S$9,10,FALSE()))</f>
        <v/>
      </c>
      <c r="S210" s="70" t="str">
        <f>IF('📇 INVENTARIO'!K211="","",'📇 INVENTARIO'!K211)</f>
        <v/>
      </c>
      <c r="T210" s="77" t="str">
        <f t="shared" si="12"/>
        <v/>
      </c>
      <c r="U210" s="70" t="str">
        <f t="shared" si="13"/>
        <v/>
      </c>
      <c r="V210" s="78" t="str">
        <f>IF('📇 INVENTARIO'!L211="","",'📇 INVENTARIO'!L211)</f>
        <v/>
      </c>
      <c r="W210" s="75" t="str">
        <f>IF($C210="","",V210*'⚙️ SUPUESTOS'!$C$8*'⚙️ SUPUESTOS'!$C$9)</f>
        <v/>
      </c>
      <c r="X210" s="78" t="str">
        <f>IF('📇 INVENTARIO'!N211="","",'📇 INVENTARIO'!N211)</f>
        <v/>
      </c>
      <c r="Y210" s="78" t="str">
        <f>IF($C210="","",W210*X210*'⚙️ SUPUESTOS'!$C$7)</f>
        <v/>
      </c>
      <c r="Z210" s="76" t="str">
        <f>IF($C210="","",W210*'⚙️ SUPUESTOS'!$C$10)</f>
        <v/>
      </c>
      <c r="AA210" s="76" t="str">
        <f>IF($C210="","",Y210*('⚙️ SUPUESTOS'!$C$12*'⚙️ SUPUESTOS'!$C$11+(1-'⚙️ SUPUESTOS'!$C$12)*'⚙️ SUPUESTOS'!$C$13))</f>
        <v/>
      </c>
      <c r="AB210" s="76" t="str">
        <f>IF($C210="","",IF(Y210&gt;0,ROUND(Y210*'⚙️ SUPUESTOS'!$C$12*'⚙️ SUPUESTOS'!$C$11,0),""))</f>
        <v/>
      </c>
      <c r="AC210" s="76" t="str">
        <f>IF($C210="","",IF(Y210&gt;0,ROUND(Y210*(1-'⚙️ SUPUESTOS'!$C$12)*'⚙️ SUPUESTOS'!$C$13,0),""))</f>
        <v/>
      </c>
      <c r="AD210" s="76" t="str">
        <f t="shared" si="14"/>
        <v/>
      </c>
      <c r="AE210" s="75" t="str">
        <f t="shared" si="15"/>
        <v/>
      </c>
      <c r="AF210" s="70" t="str">
        <f>IF($C210="","",IF(AE210="","—",IF(AE210&lt;='⚙️ SUPUESTOS'!$C$32,"✔ Muy recomendable",IF(AE210&lt;='⚙️ SUPUESTOS'!$C$33,"✔ Recomendable","Valorar"))))</f>
        <v/>
      </c>
      <c r="AG210" s="79" t="str">
        <f>IF('📇 INVENTARIO'!O211="","",'📇 INVENTARIO'!O211)</f>
        <v/>
      </c>
      <c r="AH210" s="79" t="str">
        <f>IF('📇 INVENTARIO'!P211="","",'📇 INVENTARIO'!P211)</f>
        <v/>
      </c>
    </row>
    <row r="211" spans="1:34" ht="45" customHeight="1">
      <c r="A211" s="58" t="str">
        <f>IF($C211="","",RANK(O211,$O$3:$O$265,0)+COUNTIF($O$3:O211,O211)-1)</f>
        <v/>
      </c>
      <c r="B211" s="59" t="str">
        <f>IF($C211="","",IF(A211&lt;='⚙️ SUPUESTOS'!$C$29,"Fase 1",IF(A211&lt;='⚙️ SUPUESTOS'!$C$30,"Fase 2","Fase 3")))</f>
        <v/>
      </c>
      <c r="C211" s="60" t="str">
        <f>IF('📇 INVENTARIO'!B212="","",'📇 INVENTARIO'!B212)</f>
        <v/>
      </c>
      <c r="D211" s="59" t="str">
        <f>IF('📇 INVENTARIO'!C212="","",'📇 INVENTARIO'!C212)</f>
        <v/>
      </c>
      <c r="E211" s="59" t="str">
        <f>IF('📇 INVENTARIO'!D212="","",'📇 INVENTARIO'!D212)</f>
        <v/>
      </c>
      <c r="F211" s="59" t="str">
        <f>IF('📇 INVENTARIO'!F212="","",'📇 INVENTARIO'!F212)</f>
        <v/>
      </c>
      <c r="G211" s="61" t="str">
        <f>IF('📇 INVENTARIO'!G212="","",'📇 INVENTARIO'!G212)</f>
        <v/>
      </c>
      <c r="H211" s="61" t="str">
        <f>IF('📇 INVENTARIO'!H212="","",'📇 INVENTARIO'!H212)</f>
        <v/>
      </c>
      <c r="I211" s="61" t="str">
        <f>IF('📇 INVENTARIO'!I212="","",'📇 INVENTARIO'!I212)</f>
        <v/>
      </c>
      <c r="J211" s="61" t="str">
        <f>IF('📇 INVENTARIO'!J212="","",'📇 INVENTARIO'!J212)</f>
        <v/>
      </c>
      <c r="K211" s="62" t="str">
        <f>IF($C211="","",(G211-'⚙️ SUPUESTOS'!$C$20)/('⚙️ SUPUESTOS'!$C$25-'⚙️ SUPUESTOS'!$C$20))</f>
        <v/>
      </c>
      <c r="L211" s="62" t="str">
        <f>IF($C211="","",VLOOKUP($E211,'📊 SECCIONES'!$B$4:$S$9,16,FALSE()))</f>
        <v/>
      </c>
      <c r="M211" s="62" t="str">
        <f>IF($C211="","",VLOOKUP($E211,'📊 SECCIONES'!$B$4:$S$9,17,FALSE()))</f>
        <v/>
      </c>
      <c r="N211" s="62" t="str">
        <f>IF($C211="","",VLOOKUP($E211,'📊 SECCIONES'!$B$4:$S$9,18,FALSE()))</f>
        <v/>
      </c>
      <c r="O211" s="63" t="str">
        <f>IF($C211="","",ROUND('⚙️ SUPUESTOS'!$C$21*K211+'⚙️ SUPUESTOS'!$C$22*L211+'⚙️ SUPUESTOS'!$C$23*M211+'⚙️ SUPUESTOS'!$C$24*N211,4))</f>
        <v/>
      </c>
      <c r="P211" s="64" t="str">
        <f>IF($C211="","",VLOOKUP($E211,'📊 SECCIONES'!$B$4:$S$9,7,FALSE()))</f>
        <v/>
      </c>
      <c r="Q211" s="65" t="str">
        <f>IF($C211="","",VLOOKUP($E211,'📊 SECCIONES'!$B$4:$S$9,8,FALSE()))</f>
        <v/>
      </c>
      <c r="R211" s="64" t="str">
        <f>IF($C211="","",VLOOKUP($E211,'📊 SECCIONES'!$B$4:$S$9,10,FALSE()))</f>
        <v/>
      </c>
      <c r="S211" s="59" t="str">
        <f>IF('📇 INVENTARIO'!K212="","",'📇 INVENTARIO'!K212)</f>
        <v/>
      </c>
      <c r="T211" s="66" t="str">
        <f t="shared" si="12"/>
        <v/>
      </c>
      <c r="U211" s="59" t="str">
        <f t="shared" si="13"/>
        <v/>
      </c>
      <c r="V211" s="67" t="str">
        <f>IF('📇 INVENTARIO'!L212="","",'📇 INVENTARIO'!L212)</f>
        <v/>
      </c>
      <c r="W211" s="64" t="str">
        <f>IF($C211="","",V211*'⚙️ SUPUESTOS'!$C$8*'⚙️ SUPUESTOS'!$C$9)</f>
        <v/>
      </c>
      <c r="X211" s="67" t="str">
        <f>IF('📇 INVENTARIO'!N212="","",'📇 INVENTARIO'!N212)</f>
        <v/>
      </c>
      <c r="Y211" s="67" t="str">
        <f>IF($C211="","",W211*X211*'⚙️ SUPUESTOS'!$C$7)</f>
        <v/>
      </c>
      <c r="Z211" s="65" t="str">
        <f>IF($C211="","",W211*'⚙️ SUPUESTOS'!$C$10)</f>
        <v/>
      </c>
      <c r="AA211" s="65" t="str">
        <f>IF($C211="","",Y211*('⚙️ SUPUESTOS'!$C$12*'⚙️ SUPUESTOS'!$C$11+(1-'⚙️ SUPUESTOS'!$C$12)*'⚙️ SUPUESTOS'!$C$13))</f>
        <v/>
      </c>
      <c r="AB211" s="65" t="str">
        <f>IF($C211="","",IF(Y211&gt;0,ROUND(Y211*'⚙️ SUPUESTOS'!$C$12*'⚙️ SUPUESTOS'!$C$11,0),""))</f>
        <v/>
      </c>
      <c r="AC211" s="65" t="str">
        <f>IF($C211="","",IF(Y211&gt;0,ROUND(Y211*(1-'⚙️ SUPUESTOS'!$C$12)*'⚙️ SUPUESTOS'!$C$13,0),""))</f>
        <v/>
      </c>
      <c r="AD211" s="65" t="str">
        <f t="shared" si="14"/>
        <v/>
      </c>
      <c r="AE211" s="64" t="str">
        <f t="shared" si="15"/>
        <v/>
      </c>
      <c r="AF211" s="59" t="str">
        <f>IF($C211="","",IF(AE211="","—",IF(AE211&lt;='⚙️ SUPUESTOS'!$C$32,"✔ Muy recomendable",IF(AE211&lt;='⚙️ SUPUESTOS'!$C$33,"✔ Recomendable","Valorar"))))</f>
        <v/>
      </c>
      <c r="AG211" s="68" t="str">
        <f>IF('📇 INVENTARIO'!O212="","",'📇 INVENTARIO'!O212)</f>
        <v/>
      </c>
      <c r="AH211" s="68" t="str">
        <f>IF('📇 INVENTARIO'!P212="","",'📇 INVENTARIO'!P212)</f>
        <v/>
      </c>
    </row>
    <row r="212" spans="1:34" ht="45" customHeight="1">
      <c r="A212" s="69" t="str">
        <f>IF($C212="","",RANK(O212,$O$3:$O$265,0)+COUNTIF($O$3:O212,O212)-1)</f>
        <v/>
      </c>
      <c r="B212" s="70" t="str">
        <f>IF($C212="","",IF(A212&lt;='⚙️ SUPUESTOS'!$C$29,"Fase 1",IF(A212&lt;='⚙️ SUPUESTOS'!$C$30,"Fase 2","Fase 3")))</f>
        <v/>
      </c>
      <c r="C212" s="71" t="str">
        <f>IF('📇 INVENTARIO'!B213="","",'📇 INVENTARIO'!B213)</f>
        <v/>
      </c>
      <c r="D212" s="70" t="str">
        <f>IF('📇 INVENTARIO'!C213="","",'📇 INVENTARIO'!C213)</f>
        <v/>
      </c>
      <c r="E212" s="70" t="str">
        <f>IF('📇 INVENTARIO'!D213="","",'📇 INVENTARIO'!D213)</f>
        <v/>
      </c>
      <c r="F212" s="70" t="str">
        <f>IF('📇 INVENTARIO'!F213="","",'📇 INVENTARIO'!F213)</f>
        <v/>
      </c>
      <c r="G212" s="72" t="str">
        <f>IF('📇 INVENTARIO'!G213="","",'📇 INVENTARIO'!G213)</f>
        <v/>
      </c>
      <c r="H212" s="72" t="str">
        <f>IF('📇 INVENTARIO'!H213="","",'📇 INVENTARIO'!H213)</f>
        <v/>
      </c>
      <c r="I212" s="72" t="str">
        <f>IF('📇 INVENTARIO'!I213="","",'📇 INVENTARIO'!I213)</f>
        <v/>
      </c>
      <c r="J212" s="72" t="str">
        <f>IF('📇 INVENTARIO'!J213="","",'📇 INVENTARIO'!J213)</f>
        <v/>
      </c>
      <c r="K212" s="73" t="str">
        <f>IF($C212="","",(G212-'⚙️ SUPUESTOS'!$C$20)/('⚙️ SUPUESTOS'!$C$25-'⚙️ SUPUESTOS'!$C$20))</f>
        <v/>
      </c>
      <c r="L212" s="73" t="str">
        <f>IF($C212="","",VLOOKUP($E212,'📊 SECCIONES'!$B$4:$S$9,16,FALSE()))</f>
        <v/>
      </c>
      <c r="M212" s="73" t="str">
        <f>IF($C212="","",VLOOKUP($E212,'📊 SECCIONES'!$B$4:$S$9,17,FALSE()))</f>
        <v/>
      </c>
      <c r="N212" s="73" t="str">
        <f>IF($C212="","",VLOOKUP($E212,'📊 SECCIONES'!$B$4:$S$9,18,FALSE()))</f>
        <v/>
      </c>
      <c r="O212" s="74" t="str">
        <f>IF($C212="","",ROUND('⚙️ SUPUESTOS'!$C$21*K212+'⚙️ SUPUESTOS'!$C$22*L212+'⚙️ SUPUESTOS'!$C$23*M212+'⚙️ SUPUESTOS'!$C$24*N212,4))</f>
        <v/>
      </c>
      <c r="P212" s="75" t="str">
        <f>IF($C212="","",VLOOKUP($E212,'📊 SECCIONES'!$B$4:$S$9,7,FALSE()))</f>
        <v/>
      </c>
      <c r="Q212" s="76" t="str">
        <f>IF($C212="","",VLOOKUP($E212,'📊 SECCIONES'!$B$4:$S$9,8,FALSE()))</f>
        <v/>
      </c>
      <c r="R212" s="75" t="str">
        <f>IF($C212="","",VLOOKUP($E212,'📊 SECCIONES'!$B$4:$S$9,10,FALSE()))</f>
        <v/>
      </c>
      <c r="S212" s="70" t="str">
        <f>IF('📇 INVENTARIO'!K213="","",'📇 INVENTARIO'!K213)</f>
        <v/>
      </c>
      <c r="T212" s="77" t="str">
        <f t="shared" si="12"/>
        <v/>
      </c>
      <c r="U212" s="70" t="str">
        <f t="shared" si="13"/>
        <v/>
      </c>
      <c r="V212" s="78" t="str">
        <f>IF('📇 INVENTARIO'!L213="","",'📇 INVENTARIO'!L213)</f>
        <v/>
      </c>
      <c r="W212" s="75" t="str">
        <f>IF($C212="","",V212*'⚙️ SUPUESTOS'!$C$8*'⚙️ SUPUESTOS'!$C$9)</f>
        <v/>
      </c>
      <c r="X212" s="78" t="str">
        <f>IF('📇 INVENTARIO'!N213="","",'📇 INVENTARIO'!N213)</f>
        <v/>
      </c>
      <c r="Y212" s="78" t="str">
        <f>IF($C212="","",W212*X212*'⚙️ SUPUESTOS'!$C$7)</f>
        <v/>
      </c>
      <c r="Z212" s="76" t="str">
        <f>IF($C212="","",W212*'⚙️ SUPUESTOS'!$C$10)</f>
        <v/>
      </c>
      <c r="AA212" s="76" t="str">
        <f>IF($C212="","",Y212*('⚙️ SUPUESTOS'!$C$12*'⚙️ SUPUESTOS'!$C$11+(1-'⚙️ SUPUESTOS'!$C$12)*'⚙️ SUPUESTOS'!$C$13))</f>
        <v/>
      </c>
      <c r="AB212" s="76" t="str">
        <f>IF($C212="","",IF(Y212&gt;0,ROUND(Y212*'⚙️ SUPUESTOS'!$C$12*'⚙️ SUPUESTOS'!$C$11,0),""))</f>
        <v/>
      </c>
      <c r="AC212" s="76" t="str">
        <f>IF($C212="","",IF(Y212&gt;0,ROUND(Y212*(1-'⚙️ SUPUESTOS'!$C$12)*'⚙️ SUPUESTOS'!$C$13,0),""))</f>
        <v/>
      </c>
      <c r="AD212" s="76" t="str">
        <f t="shared" si="14"/>
        <v/>
      </c>
      <c r="AE212" s="75" t="str">
        <f t="shared" si="15"/>
        <v/>
      </c>
      <c r="AF212" s="70" t="str">
        <f>IF($C212="","",IF(AE212="","—",IF(AE212&lt;='⚙️ SUPUESTOS'!$C$32,"✔ Muy recomendable",IF(AE212&lt;='⚙️ SUPUESTOS'!$C$33,"✔ Recomendable","Valorar"))))</f>
        <v/>
      </c>
      <c r="AG212" s="79" t="str">
        <f>IF('📇 INVENTARIO'!O213="","",'📇 INVENTARIO'!O213)</f>
        <v/>
      </c>
      <c r="AH212" s="79" t="str">
        <f>IF('📇 INVENTARIO'!P213="","",'📇 INVENTARIO'!P213)</f>
        <v/>
      </c>
    </row>
    <row r="213" spans="1:34" ht="45" customHeight="1">
      <c r="A213" s="58" t="str">
        <f>IF($C213="","",RANK(O213,$O$3:$O$265,0)+COUNTIF($O$3:O213,O213)-1)</f>
        <v/>
      </c>
      <c r="B213" s="59" t="str">
        <f>IF($C213="","",IF(A213&lt;='⚙️ SUPUESTOS'!$C$29,"Fase 1",IF(A213&lt;='⚙️ SUPUESTOS'!$C$30,"Fase 2","Fase 3")))</f>
        <v/>
      </c>
      <c r="C213" s="60" t="str">
        <f>IF('📇 INVENTARIO'!B214="","",'📇 INVENTARIO'!B214)</f>
        <v/>
      </c>
      <c r="D213" s="59" t="str">
        <f>IF('📇 INVENTARIO'!C214="","",'📇 INVENTARIO'!C214)</f>
        <v/>
      </c>
      <c r="E213" s="59" t="str">
        <f>IF('📇 INVENTARIO'!D214="","",'📇 INVENTARIO'!D214)</f>
        <v/>
      </c>
      <c r="F213" s="59" t="str">
        <f>IF('📇 INVENTARIO'!F214="","",'📇 INVENTARIO'!F214)</f>
        <v/>
      </c>
      <c r="G213" s="61" t="str">
        <f>IF('📇 INVENTARIO'!G214="","",'📇 INVENTARIO'!G214)</f>
        <v/>
      </c>
      <c r="H213" s="61" t="str">
        <f>IF('📇 INVENTARIO'!H214="","",'📇 INVENTARIO'!H214)</f>
        <v/>
      </c>
      <c r="I213" s="61" t="str">
        <f>IF('📇 INVENTARIO'!I214="","",'📇 INVENTARIO'!I214)</f>
        <v/>
      </c>
      <c r="J213" s="61" t="str">
        <f>IF('📇 INVENTARIO'!J214="","",'📇 INVENTARIO'!J214)</f>
        <v/>
      </c>
      <c r="K213" s="62" t="str">
        <f>IF($C213="","",(G213-'⚙️ SUPUESTOS'!$C$20)/('⚙️ SUPUESTOS'!$C$25-'⚙️ SUPUESTOS'!$C$20))</f>
        <v/>
      </c>
      <c r="L213" s="62" t="str">
        <f>IF($C213="","",VLOOKUP($E213,'📊 SECCIONES'!$B$4:$S$9,16,FALSE()))</f>
        <v/>
      </c>
      <c r="M213" s="62" t="str">
        <f>IF($C213="","",VLOOKUP($E213,'📊 SECCIONES'!$B$4:$S$9,17,FALSE()))</f>
        <v/>
      </c>
      <c r="N213" s="62" t="str">
        <f>IF($C213="","",VLOOKUP($E213,'📊 SECCIONES'!$B$4:$S$9,18,FALSE()))</f>
        <v/>
      </c>
      <c r="O213" s="63" t="str">
        <f>IF($C213="","",ROUND('⚙️ SUPUESTOS'!$C$21*K213+'⚙️ SUPUESTOS'!$C$22*L213+'⚙️ SUPUESTOS'!$C$23*M213+'⚙️ SUPUESTOS'!$C$24*N213,4))</f>
        <v/>
      </c>
      <c r="P213" s="64" t="str">
        <f>IF($C213="","",VLOOKUP($E213,'📊 SECCIONES'!$B$4:$S$9,7,FALSE()))</f>
        <v/>
      </c>
      <c r="Q213" s="65" t="str">
        <f>IF($C213="","",VLOOKUP($E213,'📊 SECCIONES'!$B$4:$S$9,8,FALSE()))</f>
        <v/>
      </c>
      <c r="R213" s="64" t="str">
        <f>IF($C213="","",VLOOKUP($E213,'📊 SECCIONES'!$B$4:$S$9,10,FALSE()))</f>
        <v/>
      </c>
      <c r="S213" s="59" t="str">
        <f>IF('📇 INVENTARIO'!K214="","",'📇 INVENTARIO'!K214)</f>
        <v/>
      </c>
      <c r="T213" s="66" t="str">
        <f t="shared" si="12"/>
        <v/>
      </c>
      <c r="U213" s="59" t="str">
        <f t="shared" si="13"/>
        <v/>
      </c>
      <c r="V213" s="67" t="str">
        <f>IF('📇 INVENTARIO'!L214="","",'📇 INVENTARIO'!L214)</f>
        <v/>
      </c>
      <c r="W213" s="64" t="str">
        <f>IF($C213="","",V213*'⚙️ SUPUESTOS'!$C$8*'⚙️ SUPUESTOS'!$C$9)</f>
        <v/>
      </c>
      <c r="X213" s="67" t="str">
        <f>IF('📇 INVENTARIO'!N214="","",'📇 INVENTARIO'!N214)</f>
        <v/>
      </c>
      <c r="Y213" s="67" t="str">
        <f>IF($C213="","",W213*X213*'⚙️ SUPUESTOS'!$C$7)</f>
        <v/>
      </c>
      <c r="Z213" s="65" t="str">
        <f>IF($C213="","",W213*'⚙️ SUPUESTOS'!$C$10)</f>
        <v/>
      </c>
      <c r="AA213" s="65" t="str">
        <f>IF($C213="","",Y213*('⚙️ SUPUESTOS'!$C$12*'⚙️ SUPUESTOS'!$C$11+(1-'⚙️ SUPUESTOS'!$C$12)*'⚙️ SUPUESTOS'!$C$13))</f>
        <v/>
      </c>
      <c r="AB213" s="65" t="str">
        <f>IF($C213="","",IF(Y213&gt;0,ROUND(Y213*'⚙️ SUPUESTOS'!$C$12*'⚙️ SUPUESTOS'!$C$11,0),""))</f>
        <v/>
      </c>
      <c r="AC213" s="65" t="str">
        <f>IF($C213="","",IF(Y213&gt;0,ROUND(Y213*(1-'⚙️ SUPUESTOS'!$C$12)*'⚙️ SUPUESTOS'!$C$13,0),""))</f>
        <v/>
      </c>
      <c r="AD213" s="65" t="str">
        <f t="shared" si="14"/>
        <v/>
      </c>
      <c r="AE213" s="64" t="str">
        <f t="shared" si="15"/>
        <v/>
      </c>
      <c r="AF213" s="59" t="str">
        <f>IF($C213="","",IF(AE213="","—",IF(AE213&lt;='⚙️ SUPUESTOS'!$C$32,"✔ Muy recomendable",IF(AE213&lt;='⚙️ SUPUESTOS'!$C$33,"✔ Recomendable","Valorar"))))</f>
        <v/>
      </c>
      <c r="AG213" s="68" t="str">
        <f>IF('📇 INVENTARIO'!O214="","",'📇 INVENTARIO'!O214)</f>
        <v/>
      </c>
      <c r="AH213" s="68" t="str">
        <f>IF('📇 INVENTARIO'!P214="","",'📇 INVENTARIO'!P214)</f>
        <v/>
      </c>
    </row>
    <row r="214" spans="1:34" ht="45" customHeight="1">
      <c r="A214" s="69" t="str">
        <f>IF($C214="","",RANK(O214,$O$3:$O$265,0)+COUNTIF($O$3:O214,O214)-1)</f>
        <v/>
      </c>
      <c r="B214" s="70" t="str">
        <f>IF($C214="","",IF(A214&lt;='⚙️ SUPUESTOS'!$C$29,"Fase 1",IF(A214&lt;='⚙️ SUPUESTOS'!$C$30,"Fase 2","Fase 3")))</f>
        <v/>
      </c>
      <c r="C214" s="71" t="str">
        <f>IF('📇 INVENTARIO'!B215="","",'📇 INVENTARIO'!B215)</f>
        <v/>
      </c>
      <c r="D214" s="70" t="str">
        <f>IF('📇 INVENTARIO'!C215="","",'📇 INVENTARIO'!C215)</f>
        <v/>
      </c>
      <c r="E214" s="70" t="str">
        <f>IF('📇 INVENTARIO'!D215="","",'📇 INVENTARIO'!D215)</f>
        <v/>
      </c>
      <c r="F214" s="70" t="str">
        <f>IF('📇 INVENTARIO'!F215="","",'📇 INVENTARIO'!F215)</f>
        <v/>
      </c>
      <c r="G214" s="72" t="str">
        <f>IF('📇 INVENTARIO'!G215="","",'📇 INVENTARIO'!G215)</f>
        <v/>
      </c>
      <c r="H214" s="72" t="str">
        <f>IF('📇 INVENTARIO'!H215="","",'📇 INVENTARIO'!H215)</f>
        <v/>
      </c>
      <c r="I214" s="72" t="str">
        <f>IF('📇 INVENTARIO'!I215="","",'📇 INVENTARIO'!I215)</f>
        <v/>
      </c>
      <c r="J214" s="72" t="str">
        <f>IF('📇 INVENTARIO'!J215="","",'📇 INVENTARIO'!J215)</f>
        <v/>
      </c>
      <c r="K214" s="73" t="str">
        <f>IF($C214="","",(G214-'⚙️ SUPUESTOS'!$C$20)/('⚙️ SUPUESTOS'!$C$25-'⚙️ SUPUESTOS'!$C$20))</f>
        <v/>
      </c>
      <c r="L214" s="73" t="str">
        <f>IF($C214="","",VLOOKUP($E214,'📊 SECCIONES'!$B$4:$S$9,16,FALSE()))</f>
        <v/>
      </c>
      <c r="M214" s="73" t="str">
        <f>IF($C214="","",VLOOKUP($E214,'📊 SECCIONES'!$B$4:$S$9,17,FALSE()))</f>
        <v/>
      </c>
      <c r="N214" s="73" t="str">
        <f>IF($C214="","",VLOOKUP($E214,'📊 SECCIONES'!$B$4:$S$9,18,FALSE()))</f>
        <v/>
      </c>
      <c r="O214" s="74" t="str">
        <f>IF($C214="","",ROUND('⚙️ SUPUESTOS'!$C$21*K214+'⚙️ SUPUESTOS'!$C$22*L214+'⚙️ SUPUESTOS'!$C$23*M214+'⚙️ SUPUESTOS'!$C$24*N214,4))</f>
        <v/>
      </c>
      <c r="P214" s="75" t="str">
        <f>IF($C214="","",VLOOKUP($E214,'📊 SECCIONES'!$B$4:$S$9,7,FALSE()))</f>
        <v/>
      </c>
      <c r="Q214" s="76" t="str">
        <f>IF($C214="","",VLOOKUP($E214,'📊 SECCIONES'!$B$4:$S$9,8,FALSE()))</f>
        <v/>
      </c>
      <c r="R214" s="75" t="str">
        <f>IF($C214="","",VLOOKUP($E214,'📊 SECCIONES'!$B$4:$S$9,10,FALSE()))</f>
        <v/>
      </c>
      <c r="S214" s="70" t="str">
        <f>IF('📇 INVENTARIO'!K215="","",'📇 INVENTARIO'!K215)</f>
        <v/>
      </c>
      <c r="T214" s="77" t="str">
        <f t="shared" si="12"/>
        <v/>
      </c>
      <c r="U214" s="70" t="str">
        <f t="shared" si="13"/>
        <v/>
      </c>
      <c r="V214" s="78" t="str">
        <f>IF('📇 INVENTARIO'!L215="","",'📇 INVENTARIO'!L215)</f>
        <v/>
      </c>
      <c r="W214" s="75" t="str">
        <f>IF($C214="","",V214*'⚙️ SUPUESTOS'!$C$8*'⚙️ SUPUESTOS'!$C$9)</f>
        <v/>
      </c>
      <c r="X214" s="78" t="str">
        <f>IF('📇 INVENTARIO'!N215="","",'📇 INVENTARIO'!N215)</f>
        <v/>
      </c>
      <c r="Y214" s="78" t="str">
        <f>IF($C214="","",W214*X214*'⚙️ SUPUESTOS'!$C$7)</f>
        <v/>
      </c>
      <c r="Z214" s="76" t="str">
        <f>IF($C214="","",W214*'⚙️ SUPUESTOS'!$C$10)</f>
        <v/>
      </c>
      <c r="AA214" s="76" t="str">
        <f>IF($C214="","",Y214*('⚙️ SUPUESTOS'!$C$12*'⚙️ SUPUESTOS'!$C$11+(1-'⚙️ SUPUESTOS'!$C$12)*'⚙️ SUPUESTOS'!$C$13))</f>
        <v/>
      </c>
      <c r="AB214" s="76" t="str">
        <f>IF($C214="","",IF(Y214&gt;0,ROUND(Y214*'⚙️ SUPUESTOS'!$C$12*'⚙️ SUPUESTOS'!$C$11,0),""))</f>
        <v/>
      </c>
      <c r="AC214" s="76" t="str">
        <f>IF($C214="","",IF(Y214&gt;0,ROUND(Y214*(1-'⚙️ SUPUESTOS'!$C$12)*'⚙️ SUPUESTOS'!$C$13,0),""))</f>
        <v/>
      </c>
      <c r="AD214" s="76" t="str">
        <f t="shared" si="14"/>
        <v/>
      </c>
      <c r="AE214" s="75" t="str">
        <f t="shared" si="15"/>
        <v/>
      </c>
      <c r="AF214" s="70" t="str">
        <f>IF($C214="","",IF(AE214="","—",IF(AE214&lt;='⚙️ SUPUESTOS'!$C$32,"✔ Muy recomendable",IF(AE214&lt;='⚙️ SUPUESTOS'!$C$33,"✔ Recomendable","Valorar"))))</f>
        <v/>
      </c>
      <c r="AG214" s="79" t="str">
        <f>IF('📇 INVENTARIO'!O215="","",'📇 INVENTARIO'!O215)</f>
        <v/>
      </c>
      <c r="AH214" s="79" t="str">
        <f>IF('📇 INVENTARIO'!P215="","",'📇 INVENTARIO'!P215)</f>
        <v/>
      </c>
    </row>
    <row r="215" spans="1:34" ht="45" customHeight="1">
      <c r="A215" s="58" t="str">
        <f>IF($C215="","",RANK(O215,$O$3:$O$265,0)+COUNTIF($O$3:O215,O215)-1)</f>
        <v/>
      </c>
      <c r="B215" s="59" t="str">
        <f>IF($C215="","",IF(A215&lt;='⚙️ SUPUESTOS'!$C$29,"Fase 1",IF(A215&lt;='⚙️ SUPUESTOS'!$C$30,"Fase 2","Fase 3")))</f>
        <v/>
      </c>
      <c r="C215" s="60" t="str">
        <f>IF('📇 INVENTARIO'!B216="","",'📇 INVENTARIO'!B216)</f>
        <v/>
      </c>
      <c r="D215" s="59" t="str">
        <f>IF('📇 INVENTARIO'!C216="","",'📇 INVENTARIO'!C216)</f>
        <v/>
      </c>
      <c r="E215" s="59" t="str">
        <f>IF('📇 INVENTARIO'!D216="","",'📇 INVENTARIO'!D216)</f>
        <v/>
      </c>
      <c r="F215" s="59" t="str">
        <f>IF('📇 INVENTARIO'!F216="","",'📇 INVENTARIO'!F216)</f>
        <v/>
      </c>
      <c r="G215" s="61" t="str">
        <f>IF('📇 INVENTARIO'!G216="","",'📇 INVENTARIO'!G216)</f>
        <v/>
      </c>
      <c r="H215" s="61" t="str">
        <f>IF('📇 INVENTARIO'!H216="","",'📇 INVENTARIO'!H216)</f>
        <v/>
      </c>
      <c r="I215" s="61" t="str">
        <f>IF('📇 INVENTARIO'!I216="","",'📇 INVENTARIO'!I216)</f>
        <v/>
      </c>
      <c r="J215" s="61" t="str">
        <f>IF('📇 INVENTARIO'!J216="","",'📇 INVENTARIO'!J216)</f>
        <v/>
      </c>
      <c r="K215" s="62" t="str">
        <f>IF($C215="","",(G215-'⚙️ SUPUESTOS'!$C$20)/('⚙️ SUPUESTOS'!$C$25-'⚙️ SUPUESTOS'!$C$20))</f>
        <v/>
      </c>
      <c r="L215" s="62" t="str">
        <f>IF($C215="","",VLOOKUP($E215,'📊 SECCIONES'!$B$4:$S$9,16,FALSE()))</f>
        <v/>
      </c>
      <c r="M215" s="62" t="str">
        <f>IF($C215="","",VLOOKUP($E215,'📊 SECCIONES'!$B$4:$S$9,17,FALSE()))</f>
        <v/>
      </c>
      <c r="N215" s="62" t="str">
        <f>IF($C215="","",VLOOKUP($E215,'📊 SECCIONES'!$B$4:$S$9,18,FALSE()))</f>
        <v/>
      </c>
      <c r="O215" s="63" t="str">
        <f>IF($C215="","",ROUND('⚙️ SUPUESTOS'!$C$21*K215+'⚙️ SUPUESTOS'!$C$22*L215+'⚙️ SUPUESTOS'!$C$23*M215+'⚙️ SUPUESTOS'!$C$24*N215,4))</f>
        <v/>
      </c>
      <c r="P215" s="64" t="str">
        <f>IF($C215="","",VLOOKUP($E215,'📊 SECCIONES'!$B$4:$S$9,7,FALSE()))</f>
        <v/>
      </c>
      <c r="Q215" s="65" t="str">
        <f>IF($C215="","",VLOOKUP($E215,'📊 SECCIONES'!$B$4:$S$9,8,FALSE()))</f>
        <v/>
      </c>
      <c r="R215" s="64" t="str">
        <f>IF($C215="","",VLOOKUP($E215,'📊 SECCIONES'!$B$4:$S$9,10,FALSE()))</f>
        <v/>
      </c>
      <c r="S215" s="59" t="str">
        <f>IF('📇 INVENTARIO'!K216="","",'📇 INVENTARIO'!K216)</f>
        <v/>
      </c>
      <c r="T215" s="66" t="str">
        <f t="shared" si="12"/>
        <v/>
      </c>
      <c r="U215" s="59" t="str">
        <f t="shared" si="13"/>
        <v/>
      </c>
      <c r="V215" s="67" t="str">
        <f>IF('📇 INVENTARIO'!L216="","",'📇 INVENTARIO'!L216)</f>
        <v/>
      </c>
      <c r="W215" s="64" t="str">
        <f>IF($C215="","",V215*'⚙️ SUPUESTOS'!$C$8*'⚙️ SUPUESTOS'!$C$9)</f>
        <v/>
      </c>
      <c r="X215" s="67" t="str">
        <f>IF('📇 INVENTARIO'!N216="","",'📇 INVENTARIO'!N216)</f>
        <v/>
      </c>
      <c r="Y215" s="67" t="str">
        <f>IF($C215="","",W215*X215*'⚙️ SUPUESTOS'!$C$7)</f>
        <v/>
      </c>
      <c r="Z215" s="65" t="str">
        <f>IF($C215="","",W215*'⚙️ SUPUESTOS'!$C$10)</f>
        <v/>
      </c>
      <c r="AA215" s="65" t="str">
        <f>IF($C215="","",Y215*('⚙️ SUPUESTOS'!$C$12*'⚙️ SUPUESTOS'!$C$11+(1-'⚙️ SUPUESTOS'!$C$12)*'⚙️ SUPUESTOS'!$C$13))</f>
        <v/>
      </c>
      <c r="AB215" s="65" t="str">
        <f>IF($C215="","",IF(Y215&gt;0,ROUND(Y215*'⚙️ SUPUESTOS'!$C$12*'⚙️ SUPUESTOS'!$C$11,0),""))</f>
        <v/>
      </c>
      <c r="AC215" s="65" t="str">
        <f>IF($C215="","",IF(Y215&gt;0,ROUND(Y215*(1-'⚙️ SUPUESTOS'!$C$12)*'⚙️ SUPUESTOS'!$C$13,0),""))</f>
        <v/>
      </c>
      <c r="AD215" s="65" t="str">
        <f t="shared" si="14"/>
        <v/>
      </c>
      <c r="AE215" s="64" t="str">
        <f t="shared" si="15"/>
        <v/>
      </c>
      <c r="AF215" s="59" t="str">
        <f>IF($C215="","",IF(AE215="","—",IF(AE215&lt;='⚙️ SUPUESTOS'!$C$32,"✔ Muy recomendable",IF(AE215&lt;='⚙️ SUPUESTOS'!$C$33,"✔ Recomendable","Valorar"))))</f>
        <v/>
      </c>
      <c r="AG215" s="68" t="str">
        <f>IF('📇 INVENTARIO'!O216="","",'📇 INVENTARIO'!O216)</f>
        <v/>
      </c>
      <c r="AH215" s="68" t="str">
        <f>IF('📇 INVENTARIO'!P216="","",'📇 INVENTARIO'!P216)</f>
        <v/>
      </c>
    </row>
    <row r="216" spans="1:34" ht="45" customHeight="1">
      <c r="A216" s="69" t="str">
        <f>IF($C216="","",RANK(O216,$O$3:$O$265,0)+COUNTIF($O$3:O216,O216)-1)</f>
        <v/>
      </c>
      <c r="B216" s="70" t="str">
        <f>IF($C216="","",IF(A216&lt;='⚙️ SUPUESTOS'!$C$29,"Fase 1",IF(A216&lt;='⚙️ SUPUESTOS'!$C$30,"Fase 2","Fase 3")))</f>
        <v/>
      </c>
      <c r="C216" s="71" t="str">
        <f>IF('📇 INVENTARIO'!B217="","",'📇 INVENTARIO'!B217)</f>
        <v/>
      </c>
      <c r="D216" s="70" t="str">
        <f>IF('📇 INVENTARIO'!C217="","",'📇 INVENTARIO'!C217)</f>
        <v/>
      </c>
      <c r="E216" s="70" t="str">
        <f>IF('📇 INVENTARIO'!D217="","",'📇 INVENTARIO'!D217)</f>
        <v/>
      </c>
      <c r="F216" s="70" t="str">
        <f>IF('📇 INVENTARIO'!F217="","",'📇 INVENTARIO'!F217)</f>
        <v/>
      </c>
      <c r="G216" s="72" t="str">
        <f>IF('📇 INVENTARIO'!G217="","",'📇 INVENTARIO'!G217)</f>
        <v/>
      </c>
      <c r="H216" s="72" t="str">
        <f>IF('📇 INVENTARIO'!H217="","",'📇 INVENTARIO'!H217)</f>
        <v/>
      </c>
      <c r="I216" s="72" t="str">
        <f>IF('📇 INVENTARIO'!I217="","",'📇 INVENTARIO'!I217)</f>
        <v/>
      </c>
      <c r="J216" s="72" t="str">
        <f>IF('📇 INVENTARIO'!J217="","",'📇 INVENTARIO'!J217)</f>
        <v/>
      </c>
      <c r="K216" s="73" t="str">
        <f>IF($C216="","",(G216-'⚙️ SUPUESTOS'!$C$20)/('⚙️ SUPUESTOS'!$C$25-'⚙️ SUPUESTOS'!$C$20))</f>
        <v/>
      </c>
      <c r="L216" s="73" t="str">
        <f>IF($C216="","",VLOOKUP($E216,'📊 SECCIONES'!$B$4:$S$9,16,FALSE()))</f>
        <v/>
      </c>
      <c r="M216" s="73" t="str">
        <f>IF($C216="","",VLOOKUP($E216,'📊 SECCIONES'!$B$4:$S$9,17,FALSE()))</f>
        <v/>
      </c>
      <c r="N216" s="73" t="str">
        <f>IF($C216="","",VLOOKUP($E216,'📊 SECCIONES'!$B$4:$S$9,18,FALSE()))</f>
        <v/>
      </c>
      <c r="O216" s="74" t="str">
        <f>IF($C216="","",ROUND('⚙️ SUPUESTOS'!$C$21*K216+'⚙️ SUPUESTOS'!$C$22*L216+'⚙️ SUPUESTOS'!$C$23*M216+'⚙️ SUPUESTOS'!$C$24*N216,4))</f>
        <v/>
      </c>
      <c r="P216" s="75" t="str">
        <f>IF($C216="","",VLOOKUP($E216,'📊 SECCIONES'!$B$4:$S$9,7,FALSE()))</f>
        <v/>
      </c>
      <c r="Q216" s="76" t="str">
        <f>IF($C216="","",VLOOKUP($E216,'📊 SECCIONES'!$B$4:$S$9,8,FALSE()))</f>
        <v/>
      </c>
      <c r="R216" s="75" t="str">
        <f>IF($C216="","",VLOOKUP($E216,'📊 SECCIONES'!$B$4:$S$9,10,FALSE()))</f>
        <v/>
      </c>
      <c r="S216" s="70" t="str">
        <f>IF('📇 INVENTARIO'!K217="","",'📇 INVENTARIO'!K217)</f>
        <v/>
      </c>
      <c r="T216" s="77" t="str">
        <f t="shared" si="12"/>
        <v/>
      </c>
      <c r="U216" s="70" t="str">
        <f t="shared" si="13"/>
        <v/>
      </c>
      <c r="V216" s="78" t="str">
        <f>IF('📇 INVENTARIO'!L217="","",'📇 INVENTARIO'!L217)</f>
        <v/>
      </c>
      <c r="W216" s="75" t="str">
        <f>IF($C216="","",V216*'⚙️ SUPUESTOS'!$C$8*'⚙️ SUPUESTOS'!$C$9)</f>
        <v/>
      </c>
      <c r="X216" s="78" t="str">
        <f>IF('📇 INVENTARIO'!N217="","",'📇 INVENTARIO'!N217)</f>
        <v/>
      </c>
      <c r="Y216" s="78" t="str">
        <f>IF($C216="","",W216*X216*'⚙️ SUPUESTOS'!$C$7)</f>
        <v/>
      </c>
      <c r="Z216" s="76" t="str">
        <f>IF($C216="","",W216*'⚙️ SUPUESTOS'!$C$10)</f>
        <v/>
      </c>
      <c r="AA216" s="76" t="str">
        <f>IF($C216="","",Y216*('⚙️ SUPUESTOS'!$C$12*'⚙️ SUPUESTOS'!$C$11+(1-'⚙️ SUPUESTOS'!$C$12)*'⚙️ SUPUESTOS'!$C$13))</f>
        <v/>
      </c>
      <c r="AB216" s="76" t="str">
        <f>IF($C216="","",IF(Y216&gt;0,ROUND(Y216*'⚙️ SUPUESTOS'!$C$12*'⚙️ SUPUESTOS'!$C$11,0),""))</f>
        <v/>
      </c>
      <c r="AC216" s="76" t="str">
        <f>IF($C216="","",IF(Y216&gt;0,ROUND(Y216*(1-'⚙️ SUPUESTOS'!$C$12)*'⚙️ SUPUESTOS'!$C$13,0),""))</f>
        <v/>
      </c>
      <c r="AD216" s="76" t="str">
        <f t="shared" si="14"/>
        <v/>
      </c>
      <c r="AE216" s="75" t="str">
        <f t="shared" si="15"/>
        <v/>
      </c>
      <c r="AF216" s="70" t="str">
        <f>IF($C216="","",IF(AE216="","—",IF(AE216&lt;='⚙️ SUPUESTOS'!$C$32,"✔ Muy recomendable",IF(AE216&lt;='⚙️ SUPUESTOS'!$C$33,"✔ Recomendable","Valorar"))))</f>
        <v/>
      </c>
      <c r="AG216" s="79" t="str">
        <f>IF('📇 INVENTARIO'!O217="","",'📇 INVENTARIO'!O217)</f>
        <v/>
      </c>
      <c r="AH216" s="79" t="str">
        <f>IF('📇 INVENTARIO'!P217="","",'📇 INVENTARIO'!P217)</f>
        <v/>
      </c>
    </row>
    <row r="217" spans="1:34" ht="45" customHeight="1">
      <c r="A217" s="58" t="str">
        <f>IF($C217="","",RANK(O217,$O$3:$O$265,0)+COUNTIF($O$3:O217,O217)-1)</f>
        <v/>
      </c>
      <c r="B217" s="59" t="str">
        <f>IF($C217="","",IF(A217&lt;='⚙️ SUPUESTOS'!$C$29,"Fase 1",IF(A217&lt;='⚙️ SUPUESTOS'!$C$30,"Fase 2","Fase 3")))</f>
        <v/>
      </c>
      <c r="C217" s="60" t="str">
        <f>IF('📇 INVENTARIO'!B218="","",'📇 INVENTARIO'!B218)</f>
        <v/>
      </c>
      <c r="D217" s="59" t="str">
        <f>IF('📇 INVENTARIO'!C218="","",'📇 INVENTARIO'!C218)</f>
        <v/>
      </c>
      <c r="E217" s="59" t="str">
        <f>IF('📇 INVENTARIO'!D218="","",'📇 INVENTARIO'!D218)</f>
        <v/>
      </c>
      <c r="F217" s="59" t="str">
        <f>IF('📇 INVENTARIO'!F218="","",'📇 INVENTARIO'!F218)</f>
        <v/>
      </c>
      <c r="G217" s="61" t="str">
        <f>IF('📇 INVENTARIO'!G218="","",'📇 INVENTARIO'!G218)</f>
        <v/>
      </c>
      <c r="H217" s="61" t="str">
        <f>IF('📇 INVENTARIO'!H218="","",'📇 INVENTARIO'!H218)</f>
        <v/>
      </c>
      <c r="I217" s="61" t="str">
        <f>IF('📇 INVENTARIO'!I218="","",'📇 INVENTARIO'!I218)</f>
        <v/>
      </c>
      <c r="J217" s="61" t="str">
        <f>IF('📇 INVENTARIO'!J218="","",'📇 INVENTARIO'!J218)</f>
        <v/>
      </c>
      <c r="K217" s="62" t="str">
        <f>IF($C217="","",(G217-'⚙️ SUPUESTOS'!$C$20)/('⚙️ SUPUESTOS'!$C$25-'⚙️ SUPUESTOS'!$C$20))</f>
        <v/>
      </c>
      <c r="L217" s="62" t="str">
        <f>IF($C217="","",VLOOKUP($E217,'📊 SECCIONES'!$B$4:$S$9,16,FALSE()))</f>
        <v/>
      </c>
      <c r="M217" s="62" t="str">
        <f>IF($C217="","",VLOOKUP($E217,'📊 SECCIONES'!$B$4:$S$9,17,FALSE()))</f>
        <v/>
      </c>
      <c r="N217" s="62" t="str">
        <f>IF($C217="","",VLOOKUP($E217,'📊 SECCIONES'!$B$4:$S$9,18,FALSE()))</f>
        <v/>
      </c>
      <c r="O217" s="63" t="str">
        <f>IF($C217="","",ROUND('⚙️ SUPUESTOS'!$C$21*K217+'⚙️ SUPUESTOS'!$C$22*L217+'⚙️ SUPUESTOS'!$C$23*M217+'⚙️ SUPUESTOS'!$C$24*N217,4))</f>
        <v/>
      </c>
      <c r="P217" s="64" t="str">
        <f>IF($C217="","",VLOOKUP($E217,'📊 SECCIONES'!$B$4:$S$9,7,FALSE()))</f>
        <v/>
      </c>
      <c r="Q217" s="65" t="str">
        <f>IF($C217="","",VLOOKUP($E217,'📊 SECCIONES'!$B$4:$S$9,8,FALSE()))</f>
        <v/>
      </c>
      <c r="R217" s="64" t="str">
        <f>IF($C217="","",VLOOKUP($E217,'📊 SECCIONES'!$B$4:$S$9,10,FALSE()))</f>
        <v/>
      </c>
      <c r="S217" s="59" t="str">
        <f>IF('📇 INVENTARIO'!K218="","",'📇 INVENTARIO'!K218)</f>
        <v/>
      </c>
      <c r="T217" s="66" t="str">
        <f t="shared" si="12"/>
        <v/>
      </c>
      <c r="U217" s="59" t="str">
        <f t="shared" si="13"/>
        <v/>
      </c>
      <c r="V217" s="67" t="str">
        <f>IF('📇 INVENTARIO'!L218="","",'📇 INVENTARIO'!L218)</f>
        <v/>
      </c>
      <c r="W217" s="64" t="str">
        <f>IF($C217="","",V217*'⚙️ SUPUESTOS'!$C$8*'⚙️ SUPUESTOS'!$C$9)</f>
        <v/>
      </c>
      <c r="X217" s="67" t="str">
        <f>IF('📇 INVENTARIO'!N218="","",'📇 INVENTARIO'!N218)</f>
        <v/>
      </c>
      <c r="Y217" s="67" t="str">
        <f>IF($C217="","",W217*X217*'⚙️ SUPUESTOS'!$C$7)</f>
        <v/>
      </c>
      <c r="Z217" s="65" t="str">
        <f>IF($C217="","",W217*'⚙️ SUPUESTOS'!$C$10)</f>
        <v/>
      </c>
      <c r="AA217" s="65" t="str">
        <f>IF($C217="","",Y217*('⚙️ SUPUESTOS'!$C$12*'⚙️ SUPUESTOS'!$C$11+(1-'⚙️ SUPUESTOS'!$C$12)*'⚙️ SUPUESTOS'!$C$13))</f>
        <v/>
      </c>
      <c r="AB217" s="65" t="str">
        <f>IF($C217="","",IF(Y217&gt;0,ROUND(Y217*'⚙️ SUPUESTOS'!$C$12*'⚙️ SUPUESTOS'!$C$11,0),""))</f>
        <v/>
      </c>
      <c r="AC217" s="65" t="str">
        <f>IF($C217="","",IF(Y217&gt;0,ROUND(Y217*(1-'⚙️ SUPUESTOS'!$C$12)*'⚙️ SUPUESTOS'!$C$13,0),""))</f>
        <v/>
      </c>
      <c r="AD217" s="65" t="str">
        <f t="shared" si="14"/>
        <v/>
      </c>
      <c r="AE217" s="64" t="str">
        <f t="shared" si="15"/>
        <v/>
      </c>
      <c r="AF217" s="59" t="str">
        <f>IF($C217="","",IF(AE217="","—",IF(AE217&lt;='⚙️ SUPUESTOS'!$C$32,"✔ Muy recomendable",IF(AE217&lt;='⚙️ SUPUESTOS'!$C$33,"✔ Recomendable","Valorar"))))</f>
        <v/>
      </c>
      <c r="AG217" s="68" t="str">
        <f>IF('📇 INVENTARIO'!O218="","",'📇 INVENTARIO'!O218)</f>
        <v/>
      </c>
      <c r="AH217" s="68" t="str">
        <f>IF('📇 INVENTARIO'!P218="","",'📇 INVENTARIO'!P218)</f>
        <v/>
      </c>
    </row>
    <row r="218" spans="1:34" ht="45" customHeight="1">
      <c r="A218" s="69" t="str">
        <f>IF($C218="","",RANK(O218,$O$3:$O$265,0)+COUNTIF($O$3:O218,O218)-1)</f>
        <v/>
      </c>
      <c r="B218" s="70" t="str">
        <f>IF($C218="","",IF(A218&lt;='⚙️ SUPUESTOS'!$C$29,"Fase 1",IF(A218&lt;='⚙️ SUPUESTOS'!$C$30,"Fase 2","Fase 3")))</f>
        <v/>
      </c>
      <c r="C218" s="71" t="str">
        <f>IF('📇 INVENTARIO'!B219="","",'📇 INVENTARIO'!B219)</f>
        <v/>
      </c>
      <c r="D218" s="70" t="str">
        <f>IF('📇 INVENTARIO'!C219="","",'📇 INVENTARIO'!C219)</f>
        <v/>
      </c>
      <c r="E218" s="70" t="str">
        <f>IF('📇 INVENTARIO'!D219="","",'📇 INVENTARIO'!D219)</f>
        <v/>
      </c>
      <c r="F218" s="70" t="str">
        <f>IF('📇 INVENTARIO'!F219="","",'📇 INVENTARIO'!F219)</f>
        <v/>
      </c>
      <c r="G218" s="72" t="str">
        <f>IF('📇 INVENTARIO'!G219="","",'📇 INVENTARIO'!G219)</f>
        <v/>
      </c>
      <c r="H218" s="72" t="str">
        <f>IF('📇 INVENTARIO'!H219="","",'📇 INVENTARIO'!H219)</f>
        <v/>
      </c>
      <c r="I218" s="72" t="str">
        <f>IF('📇 INVENTARIO'!I219="","",'📇 INVENTARIO'!I219)</f>
        <v/>
      </c>
      <c r="J218" s="72" t="str">
        <f>IF('📇 INVENTARIO'!J219="","",'📇 INVENTARIO'!J219)</f>
        <v/>
      </c>
      <c r="K218" s="73" t="str">
        <f>IF($C218="","",(G218-'⚙️ SUPUESTOS'!$C$20)/('⚙️ SUPUESTOS'!$C$25-'⚙️ SUPUESTOS'!$C$20))</f>
        <v/>
      </c>
      <c r="L218" s="73" t="str">
        <f>IF($C218="","",VLOOKUP($E218,'📊 SECCIONES'!$B$4:$S$9,16,FALSE()))</f>
        <v/>
      </c>
      <c r="M218" s="73" t="str">
        <f>IF($C218="","",VLOOKUP($E218,'📊 SECCIONES'!$B$4:$S$9,17,FALSE()))</f>
        <v/>
      </c>
      <c r="N218" s="73" t="str">
        <f>IF($C218="","",VLOOKUP($E218,'📊 SECCIONES'!$B$4:$S$9,18,FALSE()))</f>
        <v/>
      </c>
      <c r="O218" s="74" t="str">
        <f>IF($C218="","",ROUND('⚙️ SUPUESTOS'!$C$21*K218+'⚙️ SUPUESTOS'!$C$22*L218+'⚙️ SUPUESTOS'!$C$23*M218+'⚙️ SUPUESTOS'!$C$24*N218,4))</f>
        <v/>
      </c>
      <c r="P218" s="75" t="str">
        <f>IF($C218="","",VLOOKUP($E218,'📊 SECCIONES'!$B$4:$S$9,7,FALSE()))</f>
        <v/>
      </c>
      <c r="Q218" s="76" t="str">
        <f>IF($C218="","",VLOOKUP($E218,'📊 SECCIONES'!$B$4:$S$9,8,FALSE()))</f>
        <v/>
      </c>
      <c r="R218" s="75" t="str">
        <f>IF($C218="","",VLOOKUP($E218,'📊 SECCIONES'!$B$4:$S$9,10,FALSE()))</f>
        <v/>
      </c>
      <c r="S218" s="70" t="str">
        <f>IF('📇 INVENTARIO'!K219="","",'📇 INVENTARIO'!K219)</f>
        <v/>
      </c>
      <c r="T218" s="77" t="str">
        <f t="shared" si="12"/>
        <v/>
      </c>
      <c r="U218" s="70" t="str">
        <f t="shared" si="13"/>
        <v/>
      </c>
      <c r="V218" s="78" t="str">
        <f>IF('📇 INVENTARIO'!L219="","",'📇 INVENTARIO'!L219)</f>
        <v/>
      </c>
      <c r="W218" s="75" t="str">
        <f>IF($C218="","",V218*'⚙️ SUPUESTOS'!$C$8*'⚙️ SUPUESTOS'!$C$9)</f>
        <v/>
      </c>
      <c r="X218" s="78" t="str">
        <f>IF('📇 INVENTARIO'!N219="","",'📇 INVENTARIO'!N219)</f>
        <v/>
      </c>
      <c r="Y218" s="78" t="str">
        <f>IF($C218="","",W218*X218*'⚙️ SUPUESTOS'!$C$7)</f>
        <v/>
      </c>
      <c r="Z218" s="76" t="str">
        <f>IF($C218="","",W218*'⚙️ SUPUESTOS'!$C$10)</f>
        <v/>
      </c>
      <c r="AA218" s="76" t="str">
        <f>IF($C218="","",Y218*('⚙️ SUPUESTOS'!$C$12*'⚙️ SUPUESTOS'!$C$11+(1-'⚙️ SUPUESTOS'!$C$12)*'⚙️ SUPUESTOS'!$C$13))</f>
        <v/>
      </c>
      <c r="AB218" s="76" t="str">
        <f>IF($C218="","",IF(Y218&gt;0,ROUND(Y218*'⚙️ SUPUESTOS'!$C$12*'⚙️ SUPUESTOS'!$C$11,0),""))</f>
        <v/>
      </c>
      <c r="AC218" s="76" t="str">
        <f>IF($C218="","",IF(Y218&gt;0,ROUND(Y218*(1-'⚙️ SUPUESTOS'!$C$12)*'⚙️ SUPUESTOS'!$C$13,0),""))</f>
        <v/>
      </c>
      <c r="AD218" s="76" t="str">
        <f t="shared" si="14"/>
        <v/>
      </c>
      <c r="AE218" s="75" t="str">
        <f t="shared" si="15"/>
        <v/>
      </c>
      <c r="AF218" s="70" t="str">
        <f>IF($C218="","",IF(AE218="","—",IF(AE218&lt;='⚙️ SUPUESTOS'!$C$32,"✔ Muy recomendable",IF(AE218&lt;='⚙️ SUPUESTOS'!$C$33,"✔ Recomendable","Valorar"))))</f>
        <v/>
      </c>
      <c r="AG218" s="79" t="str">
        <f>IF('📇 INVENTARIO'!O219="","",'📇 INVENTARIO'!O219)</f>
        <v/>
      </c>
      <c r="AH218" s="79" t="str">
        <f>IF('📇 INVENTARIO'!P219="","",'📇 INVENTARIO'!P219)</f>
        <v/>
      </c>
    </row>
    <row r="219" spans="1:34" ht="45" customHeight="1">
      <c r="A219" s="58" t="str">
        <f>IF($C219="","",RANK(O219,$O$3:$O$265,0)+COUNTIF($O$3:O219,O219)-1)</f>
        <v/>
      </c>
      <c r="B219" s="59" t="str">
        <f>IF($C219="","",IF(A219&lt;='⚙️ SUPUESTOS'!$C$29,"Fase 1",IF(A219&lt;='⚙️ SUPUESTOS'!$C$30,"Fase 2","Fase 3")))</f>
        <v/>
      </c>
      <c r="C219" s="60" t="str">
        <f>IF('📇 INVENTARIO'!B220="","",'📇 INVENTARIO'!B220)</f>
        <v/>
      </c>
      <c r="D219" s="59" t="str">
        <f>IF('📇 INVENTARIO'!C220="","",'📇 INVENTARIO'!C220)</f>
        <v/>
      </c>
      <c r="E219" s="59" t="str">
        <f>IF('📇 INVENTARIO'!D220="","",'📇 INVENTARIO'!D220)</f>
        <v/>
      </c>
      <c r="F219" s="59" t="str">
        <f>IF('📇 INVENTARIO'!F220="","",'📇 INVENTARIO'!F220)</f>
        <v/>
      </c>
      <c r="G219" s="61" t="str">
        <f>IF('📇 INVENTARIO'!G220="","",'📇 INVENTARIO'!G220)</f>
        <v/>
      </c>
      <c r="H219" s="61" t="str">
        <f>IF('📇 INVENTARIO'!H220="","",'📇 INVENTARIO'!H220)</f>
        <v/>
      </c>
      <c r="I219" s="61" t="str">
        <f>IF('📇 INVENTARIO'!I220="","",'📇 INVENTARIO'!I220)</f>
        <v/>
      </c>
      <c r="J219" s="61" t="str">
        <f>IF('📇 INVENTARIO'!J220="","",'📇 INVENTARIO'!J220)</f>
        <v/>
      </c>
      <c r="K219" s="62" t="str">
        <f>IF($C219="","",(G219-'⚙️ SUPUESTOS'!$C$20)/('⚙️ SUPUESTOS'!$C$25-'⚙️ SUPUESTOS'!$C$20))</f>
        <v/>
      </c>
      <c r="L219" s="62" t="str">
        <f>IF($C219="","",VLOOKUP($E219,'📊 SECCIONES'!$B$4:$S$9,16,FALSE()))</f>
        <v/>
      </c>
      <c r="M219" s="62" t="str">
        <f>IF($C219="","",VLOOKUP($E219,'📊 SECCIONES'!$B$4:$S$9,17,FALSE()))</f>
        <v/>
      </c>
      <c r="N219" s="62" t="str">
        <f>IF($C219="","",VLOOKUP($E219,'📊 SECCIONES'!$B$4:$S$9,18,FALSE()))</f>
        <v/>
      </c>
      <c r="O219" s="63" t="str">
        <f>IF($C219="","",ROUND('⚙️ SUPUESTOS'!$C$21*K219+'⚙️ SUPUESTOS'!$C$22*L219+'⚙️ SUPUESTOS'!$C$23*M219+'⚙️ SUPUESTOS'!$C$24*N219,4))</f>
        <v/>
      </c>
      <c r="P219" s="64" t="str">
        <f>IF($C219="","",VLOOKUP($E219,'📊 SECCIONES'!$B$4:$S$9,7,FALSE()))</f>
        <v/>
      </c>
      <c r="Q219" s="65" t="str">
        <f>IF($C219="","",VLOOKUP($E219,'📊 SECCIONES'!$B$4:$S$9,8,FALSE()))</f>
        <v/>
      </c>
      <c r="R219" s="64" t="str">
        <f>IF($C219="","",VLOOKUP($E219,'📊 SECCIONES'!$B$4:$S$9,10,FALSE()))</f>
        <v/>
      </c>
      <c r="S219" s="59" t="str">
        <f>IF('📇 INVENTARIO'!K220="","",'📇 INVENTARIO'!K220)</f>
        <v/>
      </c>
      <c r="T219" s="66" t="str">
        <f t="shared" si="12"/>
        <v/>
      </c>
      <c r="U219" s="59" t="str">
        <f t="shared" si="13"/>
        <v/>
      </c>
      <c r="V219" s="67" t="str">
        <f>IF('📇 INVENTARIO'!L220="","",'📇 INVENTARIO'!L220)</f>
        <v/>
      </c>
      <c r="W219" s="64" t="str">
        <f>IF($C219="","",V219*'⚙️ SUPUESTOS'!$C$8*'⚙️ SUPUESTOS'!$C$9)</f>
        <v/>
      </c>
      <c r="X219" s="67" t="str">
        <f>IF('📇 INVENTARIO'!N220="","",'📇 INVENTARIO'!N220)</f>
        <v/>
      </c>
      <c r="Y219" s="67" t="str">
        <f>IF($C219="","",W219*X219*'⚙️ SUPUESTOS'!$C$7)</f>
        <v/>
      </c>
      <c r="Z219" s="65" t="str">
        <f>IF($C219="","",W219*'⚙️ SUPUESTOS'!$C$10)</f>
        <v/>
      </c>
      <c r="AA219" s="65" t="str">
        <f>IF($C219="","",Y219*('⚙️ SUPUESTOS'!$C$12*'⚙️ SUPUESTOS'!$C$11+(1-'⚙️ SUPUESTOS'!$C$12)*'⚙️ SUPUESTOS'!$C$13))</f>
        <v/>
      </c>
      <c r="AB219" s="65" t="str">
        <f>IF($C219="","",IF(Y219&gt;0,ROUND(Y219*'⚙️ SUPUESTOS'!$C$12*'⚙️ SUPUESTOS'!$C$11,0),""))</f>
        <v/>
      </c>
      <c r="AC219" s="65" t="str">
        <f>IF($C219="","",IF(Y219&gt;0,ROUND(Y219*(1-'⚙️ SUPUESTOS'!$C$12)*'⚙️ SUPUESTOS'!$C$13,0),""))</f>
        <v/>
      </c>
      <c r="AD219" s="65" t="str">
        <f t="shared" si="14"/>
        <v/>
      </c>
      <c r="AE219" s="64" t="str">
        <f t="shared" si="15"/>
        <v/>
      </c>
      <c r="AF219" s="59" t="str">
        <f>IF($C219="","",IF(AE219="","—",IF(AE219&lt;='⚙️ SUPUESTOS'!$C$32,"✔ Muy recomendable",IF(AE219&lt;='⚙️ SUPUESTOS'!$C$33,"✔ Recomendable","Valorar"))))</f>
        <v/>
      </c>
      <c r="AG219" s="68" t="str">
        <f>IF('📇 INVENTARIO'!O220="","",'📇 INVENTARIO'!O220)</f>
        <v/>
      </c>
      <c r="AH219" s="68" t="str">
        <f>IF('📇 INVENTARIO'!P220="","",'📇 INVENTARIO'!P220)</f>
        <v/>
      </c>
    </row>
    <row r="220" spans="1:34" ht="45" customHeight="1">
      <c r="A220" s="69" t="str">
        <f>IF($C220="","",RANK(O220,$O$3:$O$265,0)+COUNTIF($O$3:O220,O220)-1)</f>
        <v/>
      </c>
      <c r="B220" s="70" t="str">
        <f>IF($C220="","",IF(A220&lt;='⚙️ SUPUESTOS'!$C$29,"Fase 1",IF(A220&lt;='⚙️ SUPUESTOS'!$C$30,"Fase 2","Fase 3")))</f>
        <v/>
      </c>
      <c r="C220" s="71" t="str">
        <f>IF('📇 INVENTARIO'!B221="","",'📇 INVENTARIO'!B221)</f>
        <v/>
      </c>
      <c r="D220" s="70" t="str">
        <f>IF('📇 INVENTARIO'!C221="","",'📇 INVENTARIO'!C221)</f>
        <v/>
      </c>
      <c r="E220" s="70" t="str">
        <f>IF('📇 INVENTARIO'!D221="","",'📇 INVENTARIO'!D221)</f>
        <v/>
      </c>
      <c r="F220" s="70" t="str">
        <f>IF('📇 INVENTARIO'!F221="","",'📇 INVENTARIO'!F221)</f>
        <v/>
      </c>
      <c r="G220" s="72" t="str">
        <f>IF('📇 INVENTARIO'!G221="","",'📇 INVENTARIO'!G221)</f>
        <v/>
      </c>
      <c r="H220" s="72" t="str">
        <f>IF('📇 INVENTARIO'!H221="","",'📇 INVENTARIO'!H221)</f>
        <v/>
      </c>
      <c r="I220" s="72" t="str">
        <f>IF('📇 INVENTARIO'!I221="","",'📇 INVENTARIO'!I221)</f>
        <v/>
      </c>
      <c r="J220" s="72" t="str">
        <f>IF('📇 INVENTARIO'!J221="","",'📇 INVENTARIO'!J221)</f>
        <v/>
      </c>
      <c r="K220" s="73" t="str">
        <f>IF($C220="","",(G220-'⚙️ SUPUESTOS'!$C$20)/('⚙️ SUPUESTOS'!$C$25-'⚙️ SUPUESTOS'!$C$20))</f>
        <v/>
      </c>
      <c r="L220" s="73" t="str">
        <f>IF($C220="","",VLOOKUP($E220,'📊 SECCIONES'!$B$4:$S$9,16,FALSE()))</f>
        <v/>
      </c>
      <c r="M220" s="73" t="str">
        <f>IF($C220="","",VLOOKUP($E220,'📊 SECCIONES'!$B$4:$S$9,17,FALSE()))</f>
        <v/>
      </c>
      <c r="N220" s="73" t="str">
        <f>IF($C220="","",VLOOKUP($E220,'📊 SECCIONES'!$B$4:$S$9,18,FALSE()))</f>
        <v/>
      </c>
      <c r="O220" s="74" t="str">
        <f>IF($C220="","",ROUND('⚙️ SUPUESTOS'!$C$21*K220+'⚙️ SUPUESTOS'!$C$22*L220+'⚙️ SUPUESTOS'!$C$23*M220+'⚙️ SUPUESTOS'!$C$24*N220,4))</f>
        <v/>
      </c>
      <c r="P220" s="75" t="str">
        <f>IF($C220="","",VLOOKUP($E220,'📊 SECCIONES'!$B$4:$S$9,7,FALSE()))</f>
        <v/>
      </c>
      <c r="Q220" s="76" t="str">
        <f>IF($C220="","",VLOOKUP($E220,'📊 SECCIONES'!$B$4:$S$9,8,FALSE()))</f>
        <v/>
      </c>
      <c r="R220" s="75" t="str">
        <f>IF($C220="","",VLOOKUP($E220,'📊 SECCIONES'!$B$4:$S$9,10,FALSE()))</f>
        <v/>
      </c>
      <c r="S220" s="70" t="str">
        <f>IF('📇 INVENTARIO'!K221="","",'📇 INVENTARIO'!K221)</f>
        <v/>
      </c>
      <c r="T220" s="77" t="str">
        <f t="shared" si="12"/>
        <v/>
      </c>
      <c r="U220" s="70" t="str">
        <f t="shared" si="13"/>
        <v/>
      </c>
      <c r="V220" s="78" t="str">
        <f>IF('📇 INVENTARIO'!L221="","",'📇 INVENTARIO'!L221)</f>
        <v/>
      </c>
      <c r="W220" s="75" t="str">
        <f>IF($C220="","",V220*'⚙️ SUPUESTOS'!$C$8*'⚙️ SUPUESTOS'!$C$9)</f>
        <v/>
      </c>
      <c r="X220" s="78" t="str">
        <f>IF('📇 INVENTARIO'!N221="","",'📇 INVENTARIO'!N221)</f>
        <v/>
      </c>
      <c r="Y220" s="78" t="str">
        <f>IF($C220="","",W220*X220*'⚙️ SUPUESTOS'!$C$7)</f>
        <v/>
      </c>
      <c r="Z220" s="76" t="str">
        <f>IF($C220="","",W220*'⚙️ SUPUESTOS'!$C$10)</f>
        <v/>
      </c>
      <c r="AA220" s="76" t="str">
        <f>IF($C220="","",Y220*('⚙️ SUPUESTOS'!$C$12*'⚙️ SUPUESTOS'!$C$11+(1-'⚙️ SUPUESTOS'!$C$12)*'⚙️ SUPUESTOS'!$C$13))</f>
        <v/>
      </c>
      <c r="AB220" s="76" t="str">
        <f>IF($C220="","",IF(Y220&gt;0,ROUND(Y220*'⚙️ SUPUESTOS'!$C$12*'⚙️ SUPUESTOS'!$C$11,0),""))</f>
        <v/>
      </c>
      <c r="AC220" s="76" t="str">
        <f>IF($C220="","",IF(Y220&gt;0,ROUND(Y220*(1-'⚙️ SUPUESTOS'!$C$12)*'⚙️ SUPUESTOS'!$C$13,0),""))</f>
        <v/>
      </c>
      <c r="AD220" s="76" t="str">
        <f t="shared" si="14"/>
        <v/>
      </c>
      <c r="AE220" s="75" t="str">
        <f t="shared" si="15"/>
        <v/>
      </c>
      <c r="AF220" s="70" t="str">
        <f>IF($C220="","",IF(AE220="","—",IF(AE220&lt;='⚙️ SUPUESTOS'!$C$32,"✔ Muy recomendable",IF(AE220&lt;='⚙️ SUPUESTOS'!$C$33,"✔ Recomendable","Valorar"))))</f>
        <v/>
      </c>
      <c r="AG220" s="79" t="str">
        <f>IF('📇 INVENTARIO'!O221="","",'📇 INVENTARIO'!O221)</f>
        <v/>
      </c>
      <c r="AH220" s="79" t="str">
        <f>IF('📇 INVENTARIO'!P221="","",'📇 INVENTARIO'!P221)</f>
        <v/>
      </c>
    </row>
    <row r="221" spans="1:34" ht="45" customHeight="1">
      <c r="A221" s="58" t="str">
        <f>IF($C221="","",RANK(O221,$O$3:$O$265,0)+COUNTIF($O$3:O221,O221)-1)</f>
        <v/>
      </c>
      <c r="B221" s="59" t="str">
        <f>IF($C221="","",IF(A221&lt;='⚙️ SUPUESTOS'!$C$29,"Fase 1",IF(A221&lt;='⚙️ SUPUESTOS'!$C$30,"Fase 2","Fase 3")))</f>
        <v/>
      </c>
      <c r="C221" s="60" t="str">
        <f>IF('📇 INVENTARIO'!B222="","",'📇 INVENTARIO'!B222)</f>
        <v/>
      </c>
      <c r="D221" s="59" t="str">
        <f>IF('📇 INVENTARIO'!C222="","",'📇 INVENTARIO'!C222)</f>
        <v/>
      </c>
      <c r="E221" s="59" t="str">
        <f>IF('📇 INVENTARIO'!D222="","",'📇 INVENTARIO'!D222)</f>
        <v/>
      </c>
      <c r="F221" s="59" t="str">
        <f>IF('📇 INVENTARIO'!F222="","",'📇 INVENTARIO'!F222)</f>
        <v/>
      </c>
      <c r="G221" s="61" t="str">
        <f>IF('📇 INVENTARIO'!G222="","",'📇 INVENTARIO'!G222)</f>
        <v/>
      </c>
      <c r="H221" s="61" t="str">
        <f>IF('📇 INVENTARIO'!H222="","",'📇 INVENTARIO'!H222)</f>
        <v/>
      </c>
      <c r="I221" s="61" t="str">
        <f>IF('📇 INVENTARIO'!I222="","",'📇 INVENTARIO'!I222)</f>
        <v/>
      </c>
      <c r="J221" s="61" t="str">
        <f>IF('📇 INVENTARIO'!J222="","",'📇 INVENTARIO'!J222)</f>
        <v/>
      </c>
      <c r="K221" s="62" t="str">
        <f>IF($C221="","",(G221-'⚙️ SUPUESTOS'!$C$20)/('⚙️ SUPUESTOS'!$C$25-'⚙️ SUPUESTOS'!$C$20))</f>
        <v/>
      </c>
      <c r="L221" s="62" t="str">
        <f>IF($C221="","",VLOOKUP($E221,'📊 SECCIONES'!$B$4:$S$9,16,FALSE()))</f>
        <v/>
      </c>
      <c r="M221" s="62" t="str">
        <f>IF($C221="","",VLOOKUP($E221,'📊 SECCIONES'!$B$4:$S$9,17,FALSE()))</f>
        <v/>
      </c>
      <c r="N221" s="62" t="str">
        <f>IF($C221="","",VLOOKUP($E221,'📊 SECCIONES'!$B$4:$S$9,18,FALSE()))</f>
        <v/>
      </c>
      <c r="O221" s="63" t="str">
        <f>IF($C221="","",ROUND('⚙️ SUPUESTOS'!$C$21*K221+'⚙️ SUPUESTOS'!$C$22*L221+'⚙️ SUPUESTOS'!$C$23*M221+'⚙️ SUPUESTOS'!$C$24*N221,4))</f>
        <v/>
      </c>
      <c r="P221" s="64" t="str">
        <f>IF($C221="","",VLOOKUP($E221,'📊 SECCIONES'!$B$4:$S$9,7,FALSE()))</f>
        <v/>
      </c>
      <c r="Q221" s="65" t="str">
        <f>IF($C221="","",VLOOKUP($E221,'📊 SECCIONES'!$B$4:$S$9,8,FALSE()))</f>
        <v/>
      </c>
      <c r="R221" s="64" t="str">
        <f>IF($C221="","",VLOOKUP($E221,'📊 SECCIONES'!$B$4:$S$9,10,FALSE()))</f>
        <v/>
      </c>
      <c r="S221" s="59" t="str">
        <f>IF('📇 INVENTARIO'!K222="","",'📇 INVENTARIO'!K222)</f>
        <v/>
      </c>
      <c r="T221" s="66" t="str">
        <f t="shared" si="12"/>
        <v/>
      </c>
      <c r="U221" s="59" t="str">
        <f t="shared" si="13"/>
        <v/>
      </c>
      <c r="V221" s="67" t="str">
        <f>IF('📇 INVENTARIO'!L222="","",'📇 INVENTARIO'!L222)</f>
        <v/>
      </c>
      <c r="W221" s="64" t="str">
        <f>IF($C221="","",V221*'⚙️ SUPUESTOS'!$C$8*'⚙️ SUPUESTOS'!$C$9)</f>
        <v/>
      </c>
      <c r="X221" s="67" t="str">
        <f>IF('📇 INVENTARIO'!N222="","",'📇 INVENTARIO'!N222)</f>
        <v/>
      </c>
      <c r="Y221" s="67" t="str">
        <f>IF($C221="","",W221*X221*'⚙️ SUPUESTOS'!$C$7)</f>
        <v/>
      </c>
      <c r="Z221" s="65" t="str">
        <f>IF($C221="","",W221*'⚙️ SUPUESTOS'!$C$10)</f>
        <v/>
      </c>
      <c r="AA221" s="65" t="str">
        <f>IF($C221="","",Y221*('⚙️ SUPUESTOS'!$C$12*'⚙️ SUPUESTOS'!$C$11+(1-'⚙️ SUPUESTOS'!$C$12)*'⚙️ SUPUESTOS'!$C$13))</f>
        <v/>
      </c>
      <c r="AB221" s="65" t="str">
        <f>IF($C221="","",IF(Y221&gt;0,ROUND(Y221*'⚙️ SUPUESTOS'!$C$12*'⚙️ SUPUESTOS'!$C$11,0),""))</f>
        <v/>
      </c>
      <c r="AC221" s="65" t="str">
        <f>IF($C221="","",IF(Y221&gt;0,ROUND(Y221*(1-'⚙️ SUPUESTOS'!$C$12)*'⚙️ SUPUESTOS'!$C$13,0),""))</f>
        <v/>
      </c>
      <c r="AD221" s="65" t="str">
        <f t="shared" si="14"/>
        <v/>
      </c>
      <c r="AE221" s="64" t="str">
        <f t="shared" si="15"/>
        <v/>
      </c>
      <c r="AF221" s="59" t="str">
        <f>IF($C221="","",IF(AE221="","—",IF(AE221&lt;='⚙️ SUPUESTOS'!$C$32,"✔ Muy recomendable",IF(AE221&lt;='⚙️ SUPUESTOS'!$C$33,"✔ Recomendable","Valorar"))))</f>
        <v/>
      </c>
      <c r="AG221" s="68" t="str">
        <f>IF('📇 INVENTARIO'!O222="","",'📇 INVENTARIO'!O222)</f>
        <v/>
      </c>
      <c r="AH221" s="68" t="str">
        <f>IF('📇 INVENTARIO'!P222="","",'📇 INVENTARIO'!P222)</f>
        <v/>
      </c>
    </row>
    <row r="222" spans="1:34" ht="45" customHeight="1">
      <c r="A222" s="69" t="str">
        <f>IF($C222="","",RANK(O222,$O$3:$O$265,0)+COUNTIF($O$3:O222,O222)-1)</f>
        <v/>
      </c>
      <c r="B222" s="70" t="str">
        <f>IF($C222="","",IF(A222&lt;='⚙️ SUPUESTOS'!$C$29,"Fase 1",IF(A222&lt;='⚙️ SUPUESTOS'!$C$30,"Fase 2","Fase 3")))</f>
        <v/>
      </c>
      <c r="C222" s="71" t="str">
        <f>IF('📇 INVENTARIO'!B223="","",'📇 INVENTARIO'!B223)</f>
        <v/>
      </c>
      <c r="D222" s="70" t="str">
        <f>IF('📇 INVENTARIO'!C223="","",'📇 INVENTARIO'!C223)</f>
        <v/>
      </c>
      <c r="E222" s="70" t="str">
        <f>IF('📇 INVENTARIO'!D223="","",'📇 INVENTARIO'!D223)</f>
        <v/>
      </c>
      <c r="F222" s="70" t="str">
        <f>IF('📇 INVENTARIO'!F223="","",'📇 INVENTARIO'!F223)</f>
        <v/>
      </c>
      <c r="G222" s="72" t="str">
        <f>IF('📇 INVENTARIO'!G223="","",'📇 INVENTARIO'!G223)</f>
        <v/>
      </c>
      <c r="H222" s="72" t="str">
        <f>IF('📇 INVENTARIO'!H223="","",'📇 INVENTARIO'!H223)</f>
        <v/>
      </c>
      <c r="I222" s="72" t="str">
        <f>IF('📇 INVENTARIO'!I223="","",'📇 INVENTARIO'!I223)</f>
        <v/>
      </c>
      <c r="J222" s="72" t="str">
        <f>IF('📇 INVENTARIO'!J223="","",'📇 INVENTARIO'!J223)</f>
        <v/>
      </c>
      <c r="K222" s="73" t="str">
        <f>IF($C222="","",(G222-'⚙️ SUPUESTOS'!$C$20)/('⚙️ SUPUESTOS'!$C$25-'⚙️ SUPUESTOS'!$C$20))</f>
        <v/>
      </c>
      <c r="L222" s="73" t="str">
        <f>IF($C222="","",VLOOKUP($E222,'📊 SECCIONES'!$B$4:$S$9,16,FALSE()))</f>
        <v/>
      </c>
      <c r="M222" s="73" t="str">
        <f>IF($C222="","",VLOOKUP($E222,'📊 SECCIONES'!$B$4:$S$9,17,FALSE()))</f>
        <v/>
      </c>
      <c r="N222" s="73" t="str">
        <f>IF($C222="","",VLOOKUP($E222,'📊 SECCIONES'!$B$4:$S$9,18,FALSE()))</f>
        <v/>
      </c>
      <c r="O222" s="74" t="str">
        <f>IF($C222="","",ROUND('⚙️ SUPUESTOS'!$C$21*K222+'⚙️ SUPUESTOS'!$C$22*L222+'⚙️ SUPUESTOS'!$C$23*M222+'⚙️ SUPUESTOS'!$C$24*N222,4))</f>
        <v/>
      </c>
      <c r="P222" s="75" t="str">
        <f>IF($C222="","",VLOOKUP($E222,'📊 SECCIONES'!$B$4:$S$9,7,FALSE()))</f>
        <v/>
      </c>
      <c r="Q222" s="76" t="str">
        <f>IF($C222="","",VLOOKUP($E222,'📊 SECCIONES'!$B$4:$S$9,8,FALSE()))</f>
        <v/>
      </c>
      <c r="R222" s="75" t="str">
        <f>IF($C222="","",VLOOKUP($E222,'📊 SECCIONES'!$B$4:$S$9,10,FALSE()))</f>
        <v/>
      </c>
      <c r="S222" s="70" t="str">
        <f>IF('📇 INVENTARIO'!K223="","",'📇 INVENTARIO'!K223)</f>
        <v/>
      </c>
      <c r="T222" s="77" t="str">
        <f t="shared" si="12"/>
        <v/>
      </c>
      <c r="U222" s="70" t="str">
        <f t="shared" si="13"/>
        <v/>
      </c>
      <c r="V222" s="78" t="str">
        <f>IF('📇 INVENTARIO'!L223="","",'📇 INVENTARIO'!L223)</f>
        <v/>
      </c>
      <c r="W222" s="75" t="str">
        <f>IF($C222="","",V222*'⚙️ SUPUESTOS'!$C$8*'⚙️ SUPUESTOS'!$C$9)</f>
        <v/>
      </c>
      <c r="X222" s="78" t="str">
        <f>IF('📇 INVENTARIO'!N223="","",'📇 INVENTARIO'!N223)</f>
        <v/>
      </c>
      <c r="Y222" s="78" t="str">
        <f>IF($C222="","",W222*X222*'⚙️ SUPUESTOS'!$C$7)</f>
        <v/>
      </c>
      <c r="Z222" s="76" t="str">
        <f>IF($C222="","",W222*'⚙️ SUPUESTOS'!$C$10)</f>
        <v/>
      </c>
      <c r="AA222" s="76" t="str">
        <f>IF($C222="","",Y222*('⚙️ SUPUESTOS'!$C$12*'⚙️ SUPUESTOS'!$C$11+(1-'⚙️ SUPUESTOS'!$C$12)*'⚙️ SUPUESTOS'!$C$13))</f>
        <v/>
      </c>
      <c r="AB222" s="76" t="str">
        <f>IF($C222="","",IF(Y222&gt;0,ROUND(Y222*'⚙️ SUPUESTOS'!$C$12*'⚙️ SUPUESTOS'!$C$11,0),""))</f>
        <v/>
      </c>
      <c r="AC222" s="76" t="str">
        <f>IF($C222="","",IF(Y222&gt;0,ROUND(Y222*(1-'⚙️ SUPUESTOS'!$C$12)*'⚙️ SUPUESTOS'!$C$13,0),""))</f>
        <v/>
      </c>
      <c r="AD222" s="76" t="str">
        <f t="shared" si="14"/>
        <v/>
      </c>
      <c r="AE222" s="75" t="str">
        <f t="shared" si="15"/>
        <v/>
      </c>
      <c r="AF222" s="70" t="str">
        <f>IF($C222="","",IF(AE222="","—",IF(AE222&lt;='⚙️ SUPUESTOS'!$C$32,"✔ Muy recomendable",IF(AE222&lt;='⚙️ SUPUESTOS'!$C$33,"✔ Recomendable","Valorar"))))</f>
        <v/>
      </c>
      <c r="AG222" s="79" t="str">
        <f>IF('📇 INVENTARIO'!O223="","",'📇 INVENTARIO'!O223)</f>
        <v/>
      </c>
      <c r="AH222" s="79" t="str">
        <f>IF('📇 INVENTARIO'!P223="","",'📇 INVENTARIO'!P223)</f>
        <v/>
      </c>
    </row>
    <row r="223" spans="1:34" ht="45" customHeight="1">
      <c r="A223" s="58" t="str">
        <f>IF($C223="","",RANK(O223,$O$3:$O$265,0)+COUNTIF($O$3:O223,O223)-1)</f>
        <v/>
      </c>
      <c r="B223" s="59" t="str">
        <f>IF($C223="","",IF(A223&lt;='⚙️ SUPUESTOS'!$C$29,"Fase 1",IF(A223&lt;='⚙️ SUPUESTOS'!$C$30,"Fase 2","Fase 3")))</f>
        <v/>
      </c>
      <c r="C223" s="60" t="str">
        <f>IF('📇 INVENTARIO'!B224="","",'📇 INVENTARIO'!B224)</f>
        <v/>
      </c>
      <c r="D223" s="59" t="str">
        <f>IF('📇 INVENTARIO'!C224="","",'📇 INVENTARIO'!C224)</f>
        <v/>
      </c>
      <c r="E223" s="59" t="str">
        <f>IF('📇 INVENTARIO'!D224="","",'📇 INVENTARIO'!D224)</f>
        <v/>
      </c>
      <c r="F223" s="59" t="str">
        <f>IF('📇 INVENTARIO'!F224="","",'📇 INVENTARIO'!F224)</f>
        <v/>
      </c>
      <c r="G223" s="61" t="str">
        <f>IF('📇 INVENTARIO'!G224="","",'📇 INVENTARIO'!G224)</f>
        <v/>
      </c>
      <c r="H223" s="61" t="str">
        <f>IF('📇 INVENTARIO'!H224="","",'📇 INVENTARIO'!H224)</f>
        <v/>
      </c>
      <c r="I223" s="61" t="str">
        <f>IF('📇 INVENTARIO'!I224="","",'📇 INVENTARIO'!I224)</f>
        <v/>
      </c>
      <c r="J223" s="61" t="str">
        <f>IF('📇 INVENTARIO'!J224="","",'📇 INVENTARIO'!J224)</f>
        <v/>
      </c>
      <c r="K223" s="62" t="str">
        <f>IF($C223="","",(G223-'⚙️ SUPUESTOS'!$C$20)/('⚙️ SUPUESTOS'!$C$25-'⚙️ SUPUESTOS'!$C$20))</f>
        <v/>
      </c>
      <c r="L223" s="62" t="str">
        <f>IF($C223="","",VLOOKUP($E223,'📊 SECCIONES'!$B$4:$S$9,16,FALSE()))</f>
        <v/>
      </c>
      <c r="M223" s="62" t="str">
        <f>IF($C223="","",VLOOKUP($E223,'📊 SECCIONES'!$B$4:$S$9,17,FALSE()))</f>
        <v/>
      </c>
      <c r="N223" s="62" t="str">
        <f>IF($C223="","",VLOOKUP($E223,'📊 SECCIONES'!$B$4:$S$9,18,FALSE()))</f>
        <v/>
      </c>
      <c r="O223" s="63" t="str">
        <f>IF($C223="","",ROUND('⚙️ SUPUESTOS'!$C$21*K223+'⚙️ SUPUESTOS'!$C$22*L223+'⚙️ SUPUESTOS'!$C$23*M223+'⚙️ SUPUESTOS'!$C$24*N223,4))</f>
        <v/>
      </c>
      <c r="P223" s="64" t="str">
        <f>IF($C223="","",VLOOKUP($E223,'📊 SECCIONES'!$B$4:$S$9,7,FALSE()))</f>
        <v/>
      </c>
      <c r="Q223" s="65" t="str">
        <f>IF($C223="","",VLOOKUP($E223,'📊 SECCIONES'!$B$4:$S$9,8,FALSE()))</f>
        <v/>
      </c>
      <c r="R223" s="64" t="str">
        <f>IF($C223="","",VLOOKUP($E223,'📊 SECCIONES'!$B$4:$S$9,10,FALSE()))</f>
        <v/>
      </c>
      <c r="S223" s="59" t="str">
        <f>IF('📇 INVENTARIO'!K224="","",'📇 INVENTARIO'!K224)</f>
        <v/>
      </c>
      <c r="T223" s="66" t="str">
        <f t="shared" si="12"/>
        <v/>
      </c>
      <c r="U223" s="59" t="str">
        <f t="shared" si="13"/>
        <v/>
      </c>
      <c r="V223" s="67" t="str">
        <f>IF('📇 INVENTARIO'!L224="","",'📇 INVENTARIO'!L224)</f>
        <v/>
      </c>
      <c r="W223" s="64" t="str">
        <f>IF($C223="","",V223*'⚙️ SUPUESTOS'!$C$8*'⚙️ SUPUESTOS'!$C$9)</f>
        <v/>
      </c>
      <c r="X223" s="67" t="str">
        <f>IF('📇 INVENTARIO'!N224="","",'📇 INVENTARIO'!N224)</f>
        <v/>
      </c>
      <c r="Y223" s="67" t="str">
        <f>IF($C223="","",W223*X223*'⚙️ SUPUESTOS'!$C$7)</f>
        <v/>
      </c>
      <c r="Z223" s="65" t="str">
        <f>IF($C223="","",W223*'⚙️ SUPUESTOS'!$C$10)</f>
        <v/>
      </c>
      <c r="AA223" s="65" t="str">
        <f>IF($C223="","",Y223*('⚙️ SUPUESTOS'!$C$12*'⚙️ SUPUESTOS'!$C$11+(1-'⚙️ SUPUESTOS'!$C$12)*'⚙️ SUPUESTOS'!$C$13))</f>
        <v/>
      </c>
      <c r="AB223" s="65" t="str">
        <f>IF($C223="","",IF(Y223&gt;0,ROUND(Y223*'⚙️ SUPUESTOS'!$C$12*'⚙️ SUPUESTOS'!$C$11,0),""))</f>
        <v/>
      </c>
      <c r="AC223" s="65" t="str">
        <f>IF($C223="","",IF(Y223&gt;0,ROUND(Y223*(1-'⚙️ SUPUESTOS'!$C$12)*'⚙️ SUPUESTOS'!$C$13,0),""))</f>
        <v/>
      </c>
      <c r="AD223" s="65" t="str">
        <f t="shared" si="14"/>
        <v/>
      </c>
      <c r="AE223" s="64" t="str">
        <f t="shared" si="15"/>
        <v/>
      </c>
      <c r="AF223" s="59" t="str">
        <f>IF($C223="","",IF(AE223="","—",IF(AE223&lt;='⚙️ SUPUESTOS'!$C$32,"✔ Muy recomendable",IF(AE223&lt;='⚙️ SUPUESTOS'!$C$33,"✔ Recomendable","Valorar"))))</f>
        <v/>
      </c>
      <c r="AG223" s="68" t="str">
        <f>IF('📇 INVENTARIO'!O224="","",'📇 INVENTARIO'!O224)</f>
        <v/>
      </c>
      <c r="AH223" s="68" t="str">
        <f>IF('📇 INVENTARIO'!P224="","",'📇 INVENTARIO'!P224)</f>
        <v/>
      </c>
    </row>
    <row r="224" spans="1:34" ht="45" customHeight="1">
      <c r="A224" s="69" t="str">
        <f>IF($C224="","",RANK(O224,$O$3:$O$265,0)+COUNTIF($O$3:O224,O224)-1)</f>
        <v/>
      </c>
      <c r="B224" s="70" t="str">
        <f>IF($C224="","",IF(A224&lt;='⚙️ SUPUESTOS'!$C$29,"Fase 1",IF(A224&lt;='⚙️ SUPUESTOS'!$C$30,"Fase 2","Fase 3")))</f>
        <v/>
      </c>
      <c r="C224" s="71" t="str">
        <f>IF('📇 INVENTARIO'!B225="","",'📇 INVENTARIO'!B225)</f>
        <v/>
      </c>
      <c r="D224" s="70" t="str">
        <f>IF('📇 INVENTARIO'!C225="","",'📇 INVENTARIO'!C225)</f>
        <v/>
      </c>
      <c r="E224" s="70" t="str">
        <f>IF('📇 INVENTARIO'!D225="","",'📇 INVENTARIO'!D225)</f>
        <v/>
      </c>
      <c r="F224" s="70" t="str">
        <f>IF('📇 INVENTARIO'!F225="","",'📇 INVENTARIO'!F225)</f>
        <v/>
      </c>
      <c r="G224" s="72" t="str">
        <f>IF('📇 INVENTARIO'!G225="","",'📇 INVENTARIO'!G225)</f>
        <v/>
      </c>
      <c r="H224" s="72" t="str">
        <f>IF('📇 INVENTARIO'!H225="","",'📇 INVENTARIO'!H225)</f>
        <v/>
      </c>
      <c r="I224" s="72" t="str">
        <f>IF('📇 INVENTARIO'!I225="","",'📇 INVENTARIO'!I225)</f>
        <v/>
      </c>
      <c r="J224" s="72" t="str">
        <f>IF('📇 INVENTARIO'!J225="","",'📇 INVENTARIO'!J225)</f>
        <v/>
      </c>
      <c r="K224" s="73" t="str">
        <f>IF($C224="","",(G224-'⚙️ SUPUESTOS'!$C$20)/('⚙️ SUPUESTOS'!$C$25-'⚙️ SUPUESTOS'!$C$20))</f>
        <v/>
      </c>
      <c r="L224" s="73" t="str">
        <f>IF($C224="","",VLOOKUP($E224,'📊 SECCIONES'!$B$4:$S$9,16,FALSE()))</f>
        <v/>
      </c>
      <c r="M224" s="73" t="str">
        <f>IF($C224="","",VLOOKUP($E224,'📊 SECCIONES'!$B$4:$S$9,17,FALSE()))</f>
        <v/>
      </c>
      <c r="N224" s="73" t="str">
        <f>IF($C224="","",VLOOKUP($E224,'📊 SECCIONES'!$B$4:$S$9,18,FALSE()))</f>
        <v/>
      </c>
      <c r="O224" s="74" t="str">
        <f>IF($C224="","",ROUND('⚙️ SUPUESTOS'!$C$21*K224+'⚙️ SUPUESTOS'!$C$22*L224+'⚙️ SUPUESTOS'!$C$23*M224+'⚙️ SUPUESTOS'!$C$24*N224,4))</f>
        <v/>
      </c>
      <c r="P224" s="75" t="str">
        <f>IF($C224="","",VLOOKUP($E224,'📊 SECCIONES'!$B$4:$S$9,7,FALSE()))</f>
        <v/>
      </c>
      <c r="Q224" s="76" t="str">
        <f>IF($C224="","",VLOOKUP($E224,'📊 SECCIONES'!$B$4:$S$9,8,FALSE()))</f>
        <v/>
      </c>
      <c r="R224" s="75" t="str">
        <f>IF($C224="","",VLOOKUP($E224,'📊 SECCIONES'!$B$4:$S$9,10,FALSE()))</f>
        <v/>
      </c>
      <c r="S224" s="70" t="str">
        <f>IF('📇 INVENTARIO'!K225="","",'📇 INVENTARIO'!K225)</f>
        <v/>
      </c>
      <c r="T224" s="77" t="str">
        <f t="shared" si="12"/>
        <v/>
      </c>
      <c r="U224" s="70" t="str">
        <f t="shared" si="13"/>
        <v/>
      </c>
      <c r="V224" s="78" t="str">
        <f>IF('📇 INVENTARIO'!L225="","",'📇 INVENTARIO'!L225)</f>
        <v/>
      </c>
      <c r="W224" s="75" t="str">
        <f>IF($C224="","",V224*'⚙️ SUPUESTOS'!$C$8*'⚙️ SUPUESTOS'!$C$9)</f>
        <v/>
      </c>
      <c r="X224" s="78" t="str">
        <f>IF('📇 INVENTARIO'!N225="","",'📇 INVENTARIO'!N225)</f>
        <v/>
      </c>
      <c r="Y224" s="78" t="str">
        <f>IF($C224="","",W224*X224*'⚙️ SUPUESTOS'!$C$7)</f>
        <v/>
      </c>
      <c r="Z224" s="76" t="str">
        <f>IF($C224="","",W224*'⚙️ SUPUESTOS'!$C$10)</f>
        <v/>
      </c>
      <c r="AA224" s="76" t="str">
        <f>IF($C224="","",Y224*('⚙️ SUPUESTOS'!$C$12*'⚙️ SUPUESTOS'!$C$11+(1-'⚙️ SUPUESTOS'!$C$12)*'⚙️ SUPUESTOS'!$C$13))</f>
        <v/>
      </c>
      <c r="AB224" s="76" t="str">
        <f>IF($C224="","",IF(Y224&gt;0,ROUND(Y224*'⚙️ SUPUESTOS'!$C$12*'⚙️ SUPUESTOS'!$C$11,0),""))</f>
        <v/>
      </c>
      <c r="AC224" s="76" t="str">
        <f>IF($C224="","",IF(Y224&gt;0,ROUND(Y224*(1-'⚙️ SUPUESTOS'!$C$12)*'⚙️ SUPUESTOS'!$C$13,0),""))</f>
        <v/>
      </c>
      <c r="AD224" s="76" t="str">
        <f t="shared" si="14"/>
        <v/>
      </c>
      <c r="AE224" s="75" t="str">
        <f t="shared" si="15"/>
        <v/>
      </c>
      <c r="AF224" s="70" t="str">
        <f>IF($C224="","",IF(AE224="","—",IF(AE224&lt;='⚙️ SUPUESTOS'!$C$32,"✔ Muy recomendable",IF(AE224&lt;='⚙️ SUPUESTOS'!$C$33,"✔ Recomendable","Valorar"))))</f>
        <v/>
      </c>
      <c r="AG224" s="79" t="str">
        <f>IF('📇 INVENTARIO'!O225="","",'📇 INVENTARIO'!O225)</f>
        <v/>
      </c>
      <c r="AH224" s="79" t="str">
        <f>IF('📇 INVENTARIO'!P225="","",'📇 INVENTARIO'!P225)</f>
        <v/>
      </c>
    </row>
    <row r="225" spans="1:34" ht="45" customHeight="1">
      <c r="A225" s="58" t="str">
        <f>IF($C225="","",RANK(O225,$O$3:$O$265,0)+COUNTIF($O$3:O225,O225)-1)</f>
        <v/>
      </c>
      <c r="B225" s="59" t="str">
        <f>IF($C225="","",IF(A225&lt;='⚙️ SUPUESTOS'!$C$29,"Fase 1",IF(A225&lt;='⚙️ SUPUESTOS'!$C$30,"Fase 2","Fase 3")))</f>
        <v/>
      </c>
      <c r="C225" s="60" t="str">
        <f>IF('📇 INVENTARIO'!B226="","",'📇 INVENTARIO'!B226)</f>
        <v/>
      </c>
      <c r="D225" s="59" t="str">
        <f>IF('📇 INVENTARIO'!C226="","",'📇 INVENTARIO'!C226)</f>
        <v/>
      </c>
      <c r="E225" s="59" t="str">
        <f>IF('📇 INVENTARIO'!D226="","",'📇 INVENTARIO'!D226)</f>
        <v/>
      </c>
      <c r="F225" s="59" t="str">
        <f>IF('📇 INVENTARIO'!F226="","",'📇 INVENTARIO'!F226)</f>
        <v/>
      </c>
      <c r="G225" s="61" t="str">
        <f>IF('📇 INVENTARIO'!G226="","",'📇 INVENTARIO'!G226)</f>
        <v/>
      </c>
      <c r="H225" s="61" t="str">
        <f>IF('📇 INVENTARIO'!H226="","",'📇 INVENTARIO'!H226)</f>
        <v/>
      </c>
      <c r="I225" s="61" t="str">
        <f>IF('📇 INVENTARIO'!I226="","",'📇 INVENTARIO'!I226)</f>
        <v/>
      </c>
      <c r="J225" s="61" t="str">
        <f>IF('📇 INVENTARIO'!J226="","",'📇 INVENTARIO'!J226)</f>
        <v/>
      </c>
      <c r="K225" s="62" t="str">
        <f>IF($C225="","",(G225-'⚙️ SUPUESTOS'!$C$20)/('⚙️ SUPUESTOS'!$C$25-'⚙️ SUPUESTOS'!$C$20))</f>
        <v/>
      </c>
      <c r="L225" s="62" t="str">
        <f>IF($C225="","",VLOOKUP($E225,'📊 SECCIONES'!$B$4:$S$9,16,FALSE()))</f>
        <v/>
      </c>
      <c r="M225" s="62" t="str">
        <f>IF($C225="","",VLOOKUP($E225,'📊 SECCIONES'!$B$4:$S$9,17,FALSE()))</f>
        <v/>
      </c>
      <c r="N225" s="62" t="str">
        <f>IF($C225="","",VLOOKUP($E225,'📊 SECCIONES'!$B$4:$S$9,18,FALSE()))</f>
        <v/>
      </c>
      <c r="O225" s="63" t="str">
        <f>IF($C225="","",ROUND('⚙️ SUPUESTOS'!$C$21*K225+'⚙️ SUPUESTOS'!$C$22*L225+'⚙️ SUPUESTOS'!$C$23*M225+'⚙️ SUPUESTOS'!$C$24*N225,4))</f>
        <v/>
      </c>
      <c r="P225" s="64" t="str">
        <f>IF($C225="","",VLOOKUP($E225,'📊 SECCIONES'!$B$4:$S$9,7,FALSE()))</f>
        <v/>
      </c>
      <c r="Q225" s="65" t="str">
        <f>IF($C225="","",VLOOKUP($E225,'📊 SECCIONES'!$B$4:$S$9,8,FALSE()))</f>
        <v/>
      </c>
      <c r="R225" s="64" t="str">
        <f>IF($C225="","",VLOOKUP($E225,'📊 SECCIONES'!$B$4:$S$9,10,FALSE()))</f>
        <v/>
      </c>
      <c r="S225" s="59" t="str">
        <f>IF('📇 INVENTARIO'!K226="","",'📇 INVENTARIO'!K226)</f>
        <v/>
      </c>
      <c r="T225" s="66" t="str">
        <f t="shared" si="12"/>
        <v/>
      </c>
      <c r="U225" s="59" t="str">
        <f t="shared" si="13"/>
        <v/>
      </c>
      <c r="V225" s="67" t="str">
        <f>IF('📇 INVENTARIO'!L226="","",'📇 INVENTARIO'!L226)</f>
        <v/>
      </c>
      <c r="W225" s="64" t="str">
        <f>IF($C225="","",V225*'⚙️ SUPUESTOS'!$C$8*'⚙️ SUPUESTOS'!$C$9)</f>
        <v/>
      </c>
      <c r="X225" s="67" t="str">
        <f>IF('📇 INVENTARIO'!N226="","",'📇 INVENTARIO'!N226)</f>
        <v/>
      </c>
      <c r="Y225" s="67" t="str">
        <f>IF($C225="","",W225*X225*'⚙️ SUPUESTOS'!$C$7)</f>
        <v/>
      </c>
      <c r="Z225" s="65" t="str">
        <f>IF($C225="","",W225*'⚙️ SUPUESTOS'!$C$10)</f>
        <v/>
      </c>
      <c r="AA225" s="65" t="str">
        <f>IF($C225="","",Y225*('⚙️ SUPUESTOS'!$C$12*'⚙️ SUPUESTOS'!$C$11+(1-'⚙️ SUPUESTOS'!$C$12)*'⚙️ SUPUESTOS'!$C$13))</f>
        <v/>
      </c>
      <c r="AB225" s="65" t="str">
        <f>IF($C225="","",IF(Y225&gt;0,ROUND(Y225*'⚙️ SUPUESTOS'!$C$12*'⚙️ SUPUESTOS'!$C$11,0),""))</f>
        <v/>
      </c>
      <c r="AC225" s="65" t="str">
        <f>IF($C225="","",IF(Y225&gt;0,ROUND(Y225*(1-'⚙️ SUPUESTOS'!$C$12)*'⚙️ SUPUESTOS'!$C$13,0),""))</f>
        <v/>
      </c>
      <c r="AD225" s="65" t="str">
        <f t="shared" si="14"/>
        <v/>
      </c>
      <c r="AE225" s="64" t="str">
        <f t="shared" si="15"/>
        <v/>
      </c>
      <c r="AF225" s="59" t="str">
        <f>IF($C225="","",IF(AE225="","—",IF(AE225&lt;='⚙️ SUPUESTOS'!$C$32,"✔ Muy recomendable",IF(AE225&lt;='⚙️ SUPUESTOS'!$C$33,"✔ Recomendable","Valorar"))))</f>
        <v/>
      </c>
      <c r="AG225" s="68" t="str">
        <f>IF('📇 INVENTARIO'!O226="","",'📇 INVENTARIO'!O226)</f>
        <v/>
      </c>
      <c r="AH225" s="68" t="str">
        <f>IF('📇 INVENTARIO'!P226="","",'📇 INVENTARIO'!P226)</f>
        <v/>
      </c>
    </row>
    <row r="226" spans="1:34" ht="45" customHeight="1">
      <c r="A226" s="69" t="str">
        <f>IF($C226="","",RANK(O226,$O$3:$O$265,0)+COUNTIF($O$3:O226,O226)-1)</f>
        <v/>
      </c>
      <c r="B226" s="70" t="str">
        <f>IF($C226="","",IF(A226&lt;='⚙️ SUPUESTOS'!$C$29,"Fase 1",IF(A226&lt;='⚙️ SUPUESTOS'!$C$30,"Fase 2","Fase 3")))</f>
        <v/>
      </c>
      <c r="C226" s="71" t="str">
        <f>IF('📇 INVENTARIO'!B227="","",'📇 INVENTARIO'!B227)</f>
        <v/>
      </c>
      <c r="D226" s="70" t="str">
        <f>IF('📇 INVENTARIO'!C227="","",'📇 INVENTARIO'!C227)</f>
        <v/>
      </c>
      <c r="E226" s="70" t="str">
        <f>IF('📇 INVENTARIO'!D227="","",'📇 INVENTARIO'!D227)</f>
        <v/>
      </c>
      <c r="F226" s="70" t="str">
        <f>IF('📇 INVENTARIO'!F227="","",'📇 INVENTARIO'!F227)</f>
        <v/>
      </c>
      <c r="G226" s="72" t="str">
        <f>IF('📇 INVENTARIO'!G227="","",'📇 INVENTARIO'!G227)</f>
        <v/>
      </c>
      <c r="H226" s="72" t="str">
        <f>IF('📇 INVENTARIO'!H227="","",'📇 INVENTARIO'!H227)</f>
        <v/>
      </c>
      <c r="I226" s="72" t="str">
        <f>IF('📇 INVENTARIO'!I227="","",'📇 INVENTARIO'!I227)</f>
        <v/>
      </c>
      <c r="J226" s="72" t="str">
        <f>IF('📇 INVENTARIO'!J227="","",'📇 INVENTARIO'!J227)</f>
        <v/>
      </c>
      <c r="K226" s="73" t="str">
        <f>IF($C226="","",(G226-'⚙️ SUPUESTOS'!$C$20)/('⚙️ SUPUESTOS'!$C$25-'⚙️ SUPUESTOS'!$C$20))</f>
        <v/>
      </c>
      <c r="L226" s="73" t="str">
        <f>IF($C226="","",VLOOKUP($E226,'📊 SECCIONES'!$B$4:$S$9,16,FALSE()))</f>
        <v/>
      </c>
      <c r="M226" s="73" t="str">
        <f>IF($C226="","",VLOOKUP($E226,'📊 SECCIONES'!$B$4:$S$9,17,FALSE()))</f>
        <v/>
      </c>
      <c r="N226" s="73" t="str">
        <f>IF($C226="","",VLOOKUP($E226,'📊 SECCIONES'!$B$4:$S$9,18,FALSE()))</f>
        <v/>
      </c>
      <c r="O226" s="74" t="str">
        <f>IF($C226="","",ROUND('⚙️ SUPUESTOS'!$C$21*K226+'⚙️ SUPUESTOS'!$C$22*L226+'⚙️ SUPUESTOS'!$C$23*M226+'⚙️ SUPUESTOS'!$C$24*N226,4))</f>
        <v/>
      </c>
      <c r="P226" s="75" t="str">
        <f>IF($C226="","",VLOOKUP($E226,'📊 SECCIONES'!$B$4:$S$9,7,FALSE()))</f>
        <v/>
      </c>
      <c r="Q226" s="76" t="str">
        <f>IF($C226="","",VLOOKUP($E226,'📊 SECCIONES'!$B$4:$S$9,8,FALSE()))</f>
        <v/>
      </c>
      <c r="R226" s="75" t="str">
        <f>IF($C226="","",VLOOKUP($E226,'📊 SECCIONES'!$B$4:$S$9,10,FALSE()))</f>
        <v/>
      </c>
      <c r="S226" s="70" t="str">
        <f>IF('📇 INVENTARIO'!K227="","",'📇 INVENTARIO'!K227)</f>
        <v/>
      </c>
      <c r="T226" s="77" t="str">
        <f t="shared" si="12"/>
        <v/>
      </c>
      <c r="U226" s="70" t="str">
        <f t="shared" si="13"/>
        <v/>
      </c>
      <c r="V226" s="78" t="str">
        <f>IF('📇 INVENTARIO'!L227="","",'📇 INVENTARIO'!L227)</f>
        <v/>
      </c>
      <c r="W226" s="75" t="str">
        <f>IF($C226="","",V226*'⚙️ SUPUESTOS'!$C$8*'⚙️ SUPUESTOS'!$C$9)</f>
        <v/>
      </c>
      <c r="X226" s="78" t="str">
        <f>IF('📇 INVENTARIO'!N227="","",'📇 INVENTARIO'!N227)</f>
        <v/>
      </c>
      <c r="Y226" s="78" t="str">
        <f>IF($C226="","",W226*X226*'⚙️ SUPUESTOS'!$C$7)</f>
        <v/>
      </c>
      <c r="Z226" s="76" t="str">
        <f>IF($C226="","",W226*'⚙️ SUPUESTOS'!$C$10)</f>
        <v/>
      </c>
      <c r="AA226" s="76" t="str">
        <f>IF($C226="","",Y226*('⚙️ SUPUESTOS'!$C$12*'⚙️ SUPUESTOS'!$C$11+(1-'⚙️ SUPUESTOS'!$C$12)*'⚙️ SUPUESTOS'!$C$13))</f>
        <v/>
      </c>
      <c r="AB226" s="76" t="str">
        <f>IF($C226="","",IF(Y226&gt;0,ROUND(Y226*'⚙️ SUPUESTOS'!$C$12*'⚙️ SUPUESTOS'!$C$11,0),""))</f>
        <v/>
      </c>
      <c r="AC226" s="76" t="str">
        <f>IF($C226="","",IF(Y226&gt;0,ROUND(Y226*(1-'⚙️ SUPUESTOS'!$C$12)*'⚙️ SUPUESTOS'!$C$13,0),""))</f>
        <v/>
      </c>
      <c r="AD226" s="76" t="str">
        <f t="shared" si="14"/>
        <v/>
      </c>
      <c r="AE226" s="75" t="str">
        <f t="shared" si="15"/>
        <v/>
      </c>
      <c r="AF226" s="70" t="str">
        <f>IF($C226="","",IF(AE226="","—",IF(AE226&lt;='⚙️ SUPUESTOS'!$C$32,"✔ Muy recomendable",IF(AE226&lt;='⚙️ SUPUESTOS'!$C$33,"✔ Recomendable","Valorar"))))</f>
        <v/>
      </c>
      <c r="AG226" s="79" t="str">
        <f>IF('📇 INVENTARIO'!O227="","",'📇 INVENTARIO'!O227)</f>
        <v/>
      </c>
      <c r="AH226" s="79" t="str">
        <f>IF('📇 INVENTARIO'!P227="","",'📇 INVENTARIO'!P227)</f>
        <v/>
      </c>
    </row>
    <row r="227" spans="1:34" ht="45" customHeight="1">
      <c r="A227" s="58" t="str">
        <f>IF($C227="","",RANK(O227,$O$3:$O$265,0)+COUNTIF($O$3:O227,O227)-1)</f>
        <v/>
      </c>
      <c r="B227" s="59" t="str">
        <f>IF($C227="","",IF(A227&lt;='⚙️ SUPUESTOS'!$C$29,"Fase 1",IF(A227&lt;='⚙️ SUPUESTOS'!$C$30,"Fase 2","Fase 3")))</f>
        <v/>
      </c>
      <c r="C227" s="60" t="str">
        <f>IF('📇 INVENTARIO'!B228="","",'📇 INVENTARIO'!B228)</f>
        <v/>
      </c>
      <c r="D227" s="59" t="str">
        <f>IF('📇 INVENTARIO'!C228="","",'📇 INVENTARIO'!C228)</f>
        <v/>
      </c>
      <c r="E227" s="59" t="str">
        <f>IF('📇 INVENTARIO'!D228="","",'📇 INVENTARIO'!D228)</f>
        <v/>
      </c>
      <c r="F227" s="59" t="str">
        <f>IF('📇 INVENTARIO'!F228="","",'📇 INVENTARIO'!F228)</f>
        <v/>
      </c>
      <c r="G227" s="61" t="str">
        <f>IF('📇 INVENTARIO'!G228="","",'📇 INVENTARIO'!G228)</f>
        <v/>
      </c>
      <c r="H227" s="61" t="str">
        <f>IF('📇 INVENTARIO'!H228="","",'📇 INVENTARIO'!H228)</f>
        <v/>
      </c>
      <c r="I227" s="61" t="str">
        <f>IF('📇 INVENTARIO'!I228="","",'📇 INVENTARIO'!I228)</f>
        <v/>
      </c>
      <c r="J227" s="61" t="str">
        <f>IF('📇 INVENTARIO'!J228="","",'📇 INVENTARIO'!J228)</f>
        <v/>
      </c>
      <c r="K227" s="62" t="str">
        <f>IF($C227="","",(G227-'⚙️ SUPUESTOS'!$C$20)/('⚙️ SUPUESTOS'!$C$25-'⚙️ SUPUESTOS'!$C$20))</f>
        <v/>
      </c>
      <c r="L227" s="62" t="str">
        <f>IF($C227="","",VLOOKUP($E227,'📊 SECCIONES'!$B$4:$S$9,16,FALSE()))</f>
        <v/>
      </c>
      <c r="M227" s="62" t="str">
        <f>IF($C227="","",VLOOKUP($E227,'📊 SECCIONES'!$B$4:$S$9,17,FALSE()))</f>
        <v/>
      </c>
      <c r="N227" s="62" t="str">
        <f>IF($C227="","",VLOOKUP($E227,'📊 SECCIONES'!$B$4:$S$9,18,FALSE()))</f>
        <v/>
      </c>
      <c r="O227" s="63" t="str">
        <f>IF($C227="","",ROUND('⚙️ SUPUESTOS'!$C$21*K227+'⚙️ SUPUESTOS'!$C$22*L227+'⚙️ SUPUESTOS'!$C$23*M227+'⚙️ SUPUESTOS'!$C$24*N227,4))</f>
        <v/>
      </c>
      <c r="P227" s="64" t="str">
        <f>IF($C227="","",VLOOKUP($E227,'📊 SECCIONES'!$B$4:$S$9,7,FALSE()))</f>
        <v/>
      </c>
      <c r="Q227" s="65" t="str">
        <f>IF($C227="","",VLOOKUP($E227,'📊 SECCIONES'!$B$4:$S$9,8,FALSE()))</f>
        <v/>
      </c>
      <c r="R227" s="64" t="str">
        <f>IF($C227="","",VLOOKUP($E227,'📊 SECCIONES'!$B$4:$S$9,10,FALSE()))</f>
        <v/>
      </c>
      <c r="S227" s="59" t="str">
        <f>IF('📇 INVENTARIO'!K228="","",'📇 INVENTARIO'!K228)</f>
        <v/>
      </c>
      <c r="T227" s="66" t="str">
        <f t="shared" si="12"/>
        <v/>
      </c>
      <c r="U227" s="59" t="str">
        <f t="shared" si="13"/>
        <v/>
      </c>
      <c r="V227" s="67" t="str">
        <f>IF('📇 INVENTARIO'!L228="","",'📇 INVENTARIO'!L228)</f>
        <v/>
      </c>
      <c r="W227" s="64" t="str">
        <f>IF($C227="","",V227*'⚙️ SUPUESTOS'!$C$8*'⚙️ SUPUESTOS'!$C$9)</f>
        <v/>
      </c>
      <c r="X227" s="67" t="str">
        <f>IF('📇 INVENTARIO'!N228="","",'📇 INVENTARIO'!N228)</f>
        <v/>
      </c>
      <c r="Y227" s="67" t="str">
        <f>IF($C227="","",W227*X227*'⚙️ SUPUESTOS'!$C$7)</f>
        <v/>
      </c>
      <c r="Z227" s="65" t="str">
        <f>IF($C227="","",W227*'⚙️ SUPUESTOS'!$C$10)</f>
        <v/>
      </c>
      <c r="AA227" s="65" t="str">
        <f>IF($C227="","",Y227*('⚙️ SUPUESTOS'!$C$12*'⚙️ SUPUESTOS'!$C$11+(1-'⚙️ SUPUESTOS'!$C$12)*'⚙️ SUPUESTOS'!$C$13))</f>
        <v/>
      </c>
      <c r="AB227" s="65" t="str">
        <f>IF($C227="","",IF(Y227&gt;0,ROUND(Y227*'⚙️ SUPUESTOS'!$C$12*'⚙️ SUPUESTOS'!$C$11,0),""))</f>
        <v/>
      </c>
      <c r="AC227" s="65" t="str">
        <f>IF($C227="","",IF(Y227&gt;0,ROUND(Y227*(1-'⚙️ SUPUESTOS'!$C$12)*'⚙️ SUPUESTOS'!$C$13,0),""))</f>
        <v/>
      </c>
      <c r="AD227" s="65" t="str">
        <f t="shared" si="14"/>
        <v/>
      </c>
      <c r="AE227" s="64" t="str">
        <f t="shared" si="15"/>
        <v/>
      </c>
      <c r="AF227" s="59" t="str">
        <f>IF($C227="","",IF(AE227="","—",IF(AE227&lt;='⚙️ SUPUESTOS'!$C$32,"✔ Muy recomendable",IF(AE227&lt;='⚙️ SUPUESTOS'!$C$33,"✔ Recomendable","Valorar"))))</f>
        <v/>
      </c>
      <c r="AG227" s="68" t="str">
        <f>IF('📇 INVENTARIO'!O228="","",'📇 INVENTARIO'!O228)</f>
        <v/>
      </c>
      <c r="AH227" s="68" t="str">
        <f>IF('📇 INVENTARIO'!P228="","",'📇 INVENTARIO'!P228)</f>
        <v/>
      </c>
    </row>
    <row r="228" spans="1:34" ht="45" customHeight="1">
      <c r="A228" s="69" t="str">
        <f>IF($C228="","",RANK(O228,$O$3:$O$265,0)+COUNTIF($O$3:O228,O228)-1)</f>
        <v/>
      </c>
      <c r="B228" s="70" t="str">
        <f>IF($C228="","",IF(A228&lt;='⚙️ SUPUESTOS'!$C$29,"Fase 1",IF(A228&lt;='⚙️ SUPUESTOS'!$C$30,"Fase 2","Fase 3")))</f>
        <v/>
      </c>
      <c r="C228" s="71" t="str">
        <f>IF('📇 INVENTARIO'!B229="","",'📇 INVENTARIO'!B229)</f>
        <v/>
      </c>
      <c r="D228" s="70" t="str">
        <f>IF('📇 INVENTARIO'!C229="","",'📇 INVENTARIO'!C229)</f>
        <v/>
      </c>
      <c r="E228" s="70" t="str">
        <f>IF('📇 INVENTARIO'!D229="","",'📇 INVENTARIO'!D229)</f>
        <v/>
      </c>
      <c r="F228" s="70" t="str">
        <f>IF('📇 INVENTARIO'!F229="","",'📇 INVENTARIO'!F229)</f>
        <v/>
      </c>
      <c r="G228" s="72" t="str">
        <f>IF('📇 INVENTARIO'!G229="","",'📇 INVENTARIO'!G229)</f>
        <v/>
      </c>
      <c r="H228" s="72" t="str">
        <f>IF('📇 INVENTARIO'!H229="","",'📇 INVENTARIO'!H229)</f>
        <v/>
      </c>
      <c r="I228" s="72" t="str">
        <f>IF('📇 INVENTARIO'!I229="","",'📇 INVENTARIO'!I229)</f>
        <v/>
      </c>
      <c r="J228" s="72" t="str">
        <f>IF('📇 INVENTARIO'!J229="","",'📇 INVENTARIO'!J229)</f>
        <v/>
      </c>
      <c r="K228" s="73" t="str">
        <f>IF($C228="","",(G228-'⚙️ SUPUESTOS'!$C$20)/('⚙️ SUPUESTOS'!$C$25-'⚙️ SUPUESTOS'!$C$20))</f>
        <v/>
      </c>
      <c r="L228" s="73" t="str">
        <f>IF($C228="","",VLOOKUP($E228,'📊 SECCIONES'!$B$4:$S$9,16,FALSE()))</f>
        <v/>
      </c>
      <c r="M228" s="73" t="str">
        <f>IF($C228="","",VLOOKUP($E228,'📊 SECCIONES'!$B$4:$S$9,17,FALSE()))</f>
        <v/>
      </c>
      <c r="N228" s="73" t="str">
        <f>IF($C228="","",VLOOKUP($E228,'📊 SECCIONES'!$B$4:$S$9,18,FALSE()))</f>
        <v/>
      </c>
      <c r="O228" s="74" t="str">
        <f>IF($C228="","",ROUND('⚙️ SUPUESTOS'!$C$21*K228+'⚙️ SUPUESTOS'!$C$22*L228+'⚙️ SUPUESTOS'!$C$23*M228+'⚙️ SUPUESTOS'!$C$24*N228,4))</f>
        <v/>
      </c>
      <c r="P228" s="75" t="str">
        <f>IF($C228="","",VLOOKUP($E228,'📊 SECCIONES'!$B$4:$S$9,7,FALSE()))</f>
        <v/>
      </c>
      <c r="Q228" s="76" t="str">
        <f>IF($C228="","",VLOOKUP($E228,'📊 SECCIONES'!$B$4:$S$9,8,FALSE()))</f>
        <v/>
      </c>
      <c r="R228" s="75" t="str">
        <f>IF($C228="","",VLOOKUP($E228,'📊 SECCIONES'!$B$4:$S$9,10,FALSE()))</f>
        <v/>
      </c>
      <c r="S228" s="70" t="str">
        <f>IF('📇 INVENTARIO'!K229="","",'📇 INVENTARIO'!K229)</f>
        <v/>
      </c>
      <c r="T228" s="77" t="str">
        <f t="shared" si="12"/>
        <v/>
      </c>
      <c r="U228" s="70" t="str">
        <f t="shared" si="13"/>
        <v/>
      </c>
      <c r="V228" s="78" t="str">
        <f>IF('📇 INVENTARIO'!L229="","",'📇 INVENTARIO'!L229)</f>
        <v/>
      </c>
      <c r="W228" s="75" t="str">
        <f>IF($C228="","",V228*'⚙️ SUPUESTOS'!$C$8*'⚙️ SUPUESTOS'!$C$9)</f>
        <v/>
      </c>
      <c r="X228" s="78" t="str">
        <f>IF('📇 INVENTARIO'!N229="","",'📇 INVENTARIO'!N229)</f>
        <v/>
      </c>
      <c r="Y228" s="78" t="str">
        <f>IF($C228="","",W228*X228*'⚙️ SUPUESTOS'!$C$7)</f>
        <v/>
      </c>
      <c r="Z228" s="76" t="str">
        <f>IF($C228="","",W228*'⚙️ SUPUESTOS'!$C$10)</f>
        <v/>
      </c>
      <c r="AA228" s="76" t="str">
        <f>IF($C228="","",Y228*('⚙️ SUPUESTOS'!$C$12*'⚙️ SUPUESTOS'!$C$11+(1-'⚙️ SUPUESTOS'!$C$12)*'⚙️ SUPUESTOS'!$C$13))</f>
        <v/>
      </c>
      <c r="AB228" s="76" t="str">
        <f>IF($C228="","",IF(Y228&gt;0,ROUND(Y228*'⚙️ SUPUESTOS'!$C$12*'⚙️ SUPUESTOS'!$C$11,0),""))</f>
        <v/>
      </c>
      <c r="AC228" s="76" t="str">
        <f>IF($C228="","",IF(Y228&gt;0,ROUND(Y228*(1-'⚙️ SUPUESTOS'!$C$12)*'⚙️ SUPUESTOS'!$C$13,0),""))</f>
        <v/>
      </c>
      <c r="AD228" s="76" t="str">
        <f t="shared" si="14"/>
        <v/>
      </c>
      <c r="AE228" s="75" t="str">
        <f t="shared" si="15"/>
        <v/>
      </c>
      <c r="AF228" s="70" t="str">
        <f>IF($C228="","",IF(AE228="","—",IF(AE228&lt;='⚙️ SUPUESTOS'!$C$32,"✔ Muy recomendable",IF(AE228&lt;='⚙️ SUPUESTOS'!$C$33,"✔ Recomendable","Valorar"))))</f>
        <v/>
      </c>
      <c r="AG228" s="79" t="str">
        <f>IF('📇 INVENTARIO'!O229="","",'📇 INVENTARIO'!O229)</f>
        <v/>
      </c>
      <c r="AH228" s="79" t="str">
        <f>IF('📇 INVENTARIO'!P229="","",'📇 INVENTARIO'!P229)</f>
        <v/>
      </c>
    </row>
    <row r="229" spans="1:34" ht="45" customHeight="1">
      <c r="A229" s="58" t="str">
        <f>IF($C229="","",RANK(O229,$O$3:$O$265,0)+COUNTIF($O$3:O229,O229)-1)</f>
        <v/>
      </c>
      <c r="B229" s="59" t="str">
        <f>IF($C229="","",IF(A229&lt;='⚙️ SUPUESTOS'!$C$29,"Fase 1",IF(A229&lt;='⚙️ SUPUESTOS'!$C$30,"Fase 2","Fase 3")))</f>
        <v/>
      </c>
      <c r="C229" s="60" t="str">
        <f>IF('📇 INVENTARIO'!B230="","",'📇 INVENTARIO'!B230)</f>
        <v/>
      </c>
      <c r="D229" s="59" t="str">
        <f>IF('📇 INVENTARIO'!C230="","",'📇 INVENTARIO'!C230)</f>
        <v/>
      </c>
      <c r="E229" s="59" t="str">
        <f>IF('📇 INVENTARIO'!D230="","",'📇 INVENTARIO'!D230)</f>
        <v/>
      </c>
      <c r="F229" s="59" t="str">
        <f>IF('📇 INVENTARIO'!F230="","",'📇 INVENTARIO'!F230)</f>
        <v/>
      </c>
      <c r="G229" s="61" t="str">
        <f>IF('📇 INVENTARIO'!G230="","",'📇 INVENTARIO'!G230)</f>
        <v/>
      </c>
      <c r="H229" s="61" t="str">
        <f>IF('📇 INVENTARIO'!H230="","",'📇 INVENTARIO'!H230)</f>
        <v/>
      </c>
      <c r="I229" s="61" t="str">
        <f>IF('📇 INVENTARIO'!I230="","",'📇 INVENTARIO'!I230)</f>
        <v/>
      </c>
      <c r="J229" s="61" t="str">
        <f>IF('📇 INVENTARIO'!J230="","",'📇 INVENTARIO'!J230)</f>
        <v/>
      </c>
      <c r="K229" s="62" t="str">
        <f>IF($C229="","",(G229-'⚙️ SUPUESTOS'!$C$20)/('⚙️ SUPUESTOS'!$C$25-'⚙️ SUPUESTOS'!$C$20))</f>
        <v/>
      </c>
      <c r="L229" s="62" t="str">
        <f>IF($C229="","",VLOOKUP($E229,'📊 SECCIONES'!$B$4:$S$9,16,FALSE()))</f>
        <v/>
      </c>
      <c r="M229" s="62" t="str">
        <f>IF($C229="","",VLOOKUP($E229,'📊 SECCIONES'!$B$4:$S$9,17,FALSE()))</f>
        <v/>
      </c>
      <c r="N229" s="62" t="str">
        <f>IF($C229="","",VLOOKUP($E229,'📊 SECCIONES'!$B$4:$S$9,18,FALSE()))</f>
        <v/>
      </c>
      <c r="O229" s="63" t="str">
        <f>IF($C229="","",ROUND('⚙️ SUPUESTOS'!$C$21*K229+'⚙️ SUPUESTOS'!$C$22*L229+'⚙️ SUPUESTOS'!$C$23*M229+'⚙️ SUPUESTOS'!$C$24*N229,4))</f>
        <v/>
      </c>
      <c r="P229" s="64" t="str">
        <f>IF($C229="","",VLOOKUP($E229,'📊 SECCIONES'!$B$4:$S$9,7,FALSE()))</f>
        <v/>
      </c>
      <c r="Q229" s="65" t="str">
        <f>IF($C229="","",VLOOKUP($E229,'📊 SECCIONES'!$B$4:$S$9,8,FALSE()))</f>
        <v/>
      </c>
      <c r="R229" s="64" t="str">
        <f>IF($C229="","",VLOOKUP($E229,'📊 SECCIONES'!$B$4:$S$9,10,FALSE()))</f>
        <v/>
      </c>
      <c r="S229" s="59" t="str">
        <f>IF('📇 INVENTARIO'!K230="","",'📇 INVENTARIO'!K230)</f>
        <v/>
      </c>
      <c r="T229" s="66" t="str">
        <f t="shared" si="12"/>
        <v/>
      </c>
      <c r="U229" s="59" t="str">
        <f t="shared" si="13"/>
        <v/>
      </c>
      <c r="V229" s="67" t="str">
        <f>IF('📇 INVENTARIO'!L230="","",'📇 INVENTARIO'!L230)</f>
        <v/>
      </c>
      <c r="W229" s="64" t="str">
        <f>IF($C229="","",V229*'⚙️ SUPUESTOS'!$C$8*'⚙️ SUPUESTOS'!$C$9)</f>
        <v/>
      </c>
      <c r="X229" s="67" t="str">
        <f>IF('📇 INVENTARIO'!N230="","",'📇 INVENTARIO'!N230)</f>
        <v/>
      </c>
      <c r="Y229" s="67" t="str">
        <f>IF($C229="","",W229*X229*'⚙️ SUPUESTOS'!$C$7)</f>
        <v/>
      </c>
      <c r="Z229" s="65" t="str">
        <f>IF($C229="","",W229*'⚙️ SUPUESTOS'!$C$10)</f>
        <v/>
      </c>
      <c r="AA229" s="65" t="str">
        <f>IF($C229="","",Y229*('⚙️ SUPUESTOS'!$C$12*'⚙️ SUPUESTOS'!$C$11+(1-'⚙️ SUPUESTOS'!$C$12)*'⚙️ SUPUESTOS'!$C$13))</f>
        <v/>
      </c>
      <c r="AB229" s="65" t="str">
        <f>IF($C229="","",IF(Y229&gt;0,ROUND(Y229*'⚙️ SUPUESTOS'!$C$12*'⚙️ SUPUESTOS'!$C$11,0),""))</f>
        <v/>
      </c>
      <c r="AC229" s="65" t="str">
        <f>IF($C229="","",IF(Y229&gt;0,ROUND(Y229*(1-'⚙️ SUPUESTOS'!$C$12)*'⚙️ SUPUESTOS'!$C$13,0),""))</f>
        <v/>
      </c>
      <c r="AD229" s="65" t="str">
        <f t="shared" si="14"/>
        <v/>
      </c>
      <c r="AE229" s="64" t="str">
        <f t="shared" si="15"/>
        <v/>
      </c>
      <c r="AF229" s="59" t="str">
        <f>IF($C229="","",IF(AE229="","—",IF(AE229&lt;='⚙️ SUPUESTOS'!$C$32,"✔ Muy recomendable",IF(AE229&lt;='⚙️ SUPUESTOS'!$C$33,"✔ Recomendable","Valorar"))))</f>
        <v/>
      </c>
      <c r="AG229" s="68" t="str">
        <f>IF('📇 INVENTARIO'!O230="","",'📇 INVENTARIO'!O230)</f>
        <v/>
      </c>
      <c r="AH229" s="68" t="str">
        <f>IF('📇 INVENTARIO'!P230="","",'📇 INVENTARIO'!P230)</f>
        <v/>
      </c>
    </row>
    <row r="230" spans="1:34" ht="45" customHeight="1">
      <c r="A230" s="69" t="str">
        <f>IF($C230="","",RANK(O230,$O$3:$O$265,0)+COUNTIF($O$3:O230,O230)-1)</f>
        <v/>
      </c>
      <c r="B230" s="70" t="str">
        <f>IF($C230="","",IF(A230&lt;='⚙️ SUPUESTOS'!$C$29,"Fase 1",IF(A230&lt;='⚙️ SUPUESTOS'!$C$30,"Fase 2","Fase 3")))</f>
        <v/>
      </c>
      <c r="C230" s="71" t="str">
        <f>IF('📇 INVENTARIO'!B231="","",'📇 INVENTARIO'!B231)</f>
        <v/>
      </c>
      <c r="D230" s="70" t="str">
        <f>IF('📇 INVENTARIO'!C231="","",'📇 INVENTARIO'!C231)</f>
        <v/>
      </c>
      <c r="E230" s="70" t="str">
        <f>IF('📇 INVENTARIO'!D231="","",'📇 INVENTARIO'!D231)</f>
        <v/>
      </c>
      <c r="F230" s="70" t="str">
        <f>IF('📇 INVENTARIO'!F231="","",'📇 INVENTARIO'!F231)</f>
        <v/>
      </c>
      <c r="G230" s="72" t="str">
        <f>IF('📇 INVENTARIO'!G231="","",'📇 INVENTARIO'!G231)</f>
        <v/>
      </c>
      <c r="H230" s="72" t="str">
        <f>IF('📇 INVENTARIO'!H231="","",'📇 INVENTARIO'!H231)</f>
        <v/>
      </c>
      <c r="I230" s="72" t="str">
        <f>IF('📇 INVENTARIO'!I231="","",'📇 INVENTARIO'!I231)</f>
        <v/>
      </c>
      <c r="J230" s="72" t="str">
        <f>IF('📇 INVENTARIO'!J231="","",'📇 INVENTARIO'!J231)</f>
        <v/>
      </c>
      <c r="K230" s="73" t="str">
        <f>IF($C230="","",(G230-'⚙️ SUPUESTOS'!$C$20)/('⚙️ SUPUESTOS'!$C$25-'⚙️ SUPUESTOS'!$C$20))</f>
        <v/>
      </c>
      <c r="L230" s="73" t="str">
        <f>IF($C230="","",VLOOKUP($E230,'📊 SECCIONES'!$B$4:$S$9,16,FALSE()))</f>
        <v/>
      </c>
      <c r="M230" s="73" t="str">
        <f>IF($C230="","",VLOOKUP($E230,'📊 SECCIONES'!$B$4:$S$9,17,FALSE()))</f>
        <v/>
      </c>
      <c r="N230" s="73" t="str">
        <f>IF($C230="","",VLOOKUP($E230,'📊 SECCIONES'!$B$4:$S$9,18,FALSE()))</f>
        <v/>
      </c>
      <c r="O230" s="74" t="str">
        <f>IF($C230="","",ROUND('⚙️ SUPUESTOS'!$C$21*K230+'⚙️ SUPUESTOS'!$C$22*L230+'⚙️ SUPUESTOS'!$C$23*M230+'⚙️ SUPUESTOS'!$C$24*N230,4))</f>
        <v/>
      </c>
      <c r="P230" s="75" t="str">
        <f>IF($C230="","",VLOOKUP($E230,'📊 SECCIONES'!$B$4:$S$9,7,FALSE()))</f>
        <v/>
      </c>
      <c r="Q230" s="76" t="str">
        <f>IF($C230="","",VLOOKUP($E230,'📊 SECCIONES'!$B$4:$S$9,8,FALSE()))</f>
        <v/>
      </c>
      <c r="R230" s="75" t="str">
        <f>IF($C230="","",VLOOKUP($E230,'📊 SECCIONES'!$B$4:$S$9,10,FALSE()))</f>
        <v/>
      </c>
      <c r="S230" s="70" t="str">
        <f>IF('📇 INVENTARIO'!K231="","",'📇 INVENTARIO'!K231)</f>
        <v/>
      </c>
      <c r="T230" s="77" t="str">
        <f t="shared" si="12"/>
        <v/>
      </c>
      <c r="U230" s="70" t="str">
        <f t="shared" si="13"/>
        <v/>
      </c>
      <c r="V230" s="78" t="str">
        <f>IF('📇 INVENTARIO'!L231="","",'📇 INVENTARIO'!L231)</f>
        <v/>
      </c>
      <c r="W230" s="75" t="str">
        <f>IF($C230="","",V230*'⚙️ SUPUESTOS'!$C$8*'⚙️ SUPUESTOS'!$C$9)</f>
        <v/>
      </c>
      <c r="X230" s="78" t="str">
        <f>IF('📇 INVENTARIO'!N231="","",'📇 INVENTARIO'!N231)</f>
        <v/>
      </c>
      <c r="Y230" s="78" t="str">
        <f>IF($C230="","",W230*X230*'⚙️ SUPUESTOS'!$C$7)</f>
        <v/>
      </c>
      <c r="Z230" s="76" t="str">
        <f>IF($C230="","",W230*'⚙️ SUPUESTOS'!$C$10)</f>
        <v/>
      </c>
      <c r="AA230" s="76" t="str">
        <f>IF($C230="","",Y230*('⚙️ SUPUESTOS'!$C$12*'⚙️ SUPUESTOS'!$C$11+(1-'⚙️ SUPUESTOS'!$C$12)*'⚙️ SUPUESTOS'!$C$13))</f>
        <v/>
      </c>
      <c r="AB230" s="76" t="str">
        <f>IF($C230="","",IF(Y230&gt;0,ROUND(Y230*'⚙️ SUPUESTOS'!$C$12*'⚙️ SUPUESTOS'!$C$11,0),""))</f>
        <v/>
      </c>
      <c r="AC230" s="76" t="str">
        <f>IF($C230="","",IF(Y230&gt;0,ROUND(Y230*(1-'⚙️ SUPUESTOS'!$C$12)*'⚙️ SUPUESTOS'!$C$13,0),""))</f>
        <v/>
      </c>
      <c r="AD230" s="76" t="str">
        <f t="shared" si="14"/>
        <v/>
      </c>
      <c r="AE230" s="75" t="str">
        <f t="shared" si="15"/>
        <v/>
      </c>
      <c r="AF230" s="70" t="str">
        <f>IF($C230="","",IF(AE230="","—",IF(AE230&lt;='⚙️ SUPUESTOS'!$C$32,"✔ Muy recomendable",IF(AE230&lt;='⚙️ SUPUESTOS'!$C$33,"✔ Recomendable","Valorar"))))</f>
        <v/>
      </c>
      <c r="AG230" s="79" t="str">
        <f>IF('📇 INVENTARIO'!O231="","",'📇 INVENTARIO'!O231)</f>
        <v/>
      </c>
      <c r="AH230" s="79" t="str">
        <f>IF('📇 INVENTARIO'!P231="","",'📇 INVENTARIO'!P231)</f>
        <v/>
      </c>
    </row>
    <row r="231" spans="1:34" ht="45" customHeight="1">
      <c r="A231" s="58" t="str">
        <f>IF($C231="","",RANK(O231,$O$3:$O$265,0)+COUNTIF($O$3:O231,O231)-1)</f>
        <v/>
      </c>
      <c r="B231" s="59" t="str">
        <f>IF($C231="","",IF(A231&lt;='⚙️ SUPUESTOS'!$C$29,"Fase 1",IF(A231&lt;='⚙️ SUPUESTOS'!$C$30,"Fase 2","Fase 3")))</f>
        <v/>
      </c>
      <c r="C231" s="60" t="str">
        <f>IF('📇 INVENTARIO'!B232="","",'📇 INVENTARIO'!B232)</f>
        <v/>
      </c>
      <c r="D231" s="59" t="str">
        <f>IF('📇 INVENTARIO'!C232="","",'📇 INVENTARIO'!C232)</f>
        <v/>
      </c>
      <c r="E231" s="59" t="str">
        <f>IF('📇 INVENTARIO'!D232="","",'📇 INVENTARIO'!D232)</f>
        <v/>
      </c>
      <c r="F231" s="59" t="str">
        <f>IF('📇 INVENTARIO'!F232="","",'📇 INVENTARIO'!F232)</f>
        <v/>
      </c>
      <c r="G231" s="61" t="str">
        <f>IF('📇 INVENTARIO'!G232="","",'📇 INVENTARIO'!G232)</f>
        <v/>
      </c>
      <c r="H231" s="61" t="str">
        <f>IF('📇 INVENTARIO'!H232="","",'📇 INVENTARIO'!H232)</f>
        <v/>
      </c>
      <c r="I231" s="61" t="str">
        <f>IF('📇 INVENTARIO'!I232="","",'📇 INVENTARIO'!I232)</f>
        <v/>
      </c>
      <c r="J231" s="61" t="str">
        <f>IF('📇 INVENTARIO'!J232="","",'📇 INVENTARIO'!J232)</f>
        <v/>
      </c>
      <c r="K231" s="62" t="str">
        <f>IF($C231="","",(G231-'⚙️ SUPUESTOS'!$C$20)/('⚙️ SUPUESTOS'!$C$25-'⚙️ SUPUESTOS'!$C$20))</f>
        <v/>
      </c>
      <c r="L231" s="62" t="str">
        <f>IF($C231="","",VLOOKUP($E231,'📊 SECCIONES'!$B$4:$S$9,16,FALSE()))</f>
        <v/>
      </c>
      <c r="M231" s="62" t="str">
        <f>IF($C231="","",VLOOKUP($E231,'📊 SECCIONES'!$B$4:$S$9,17,FALSE()))</f>
        <v/>
      </c>
      <c r="N231" s="62" t="str">
        <f>IF($C231="","",VLOOKUP($E231,'📊 SECCIONES'!$B$4:$S$9,18,FALSE()))</f>
        <v/>
      </c>
      <c r="O231" s="63" t="str">
        <f>IF($C231="","",ROUND('⚙️ SUPUESTOS'!$C$21*K231+'⚙️ SUPUESTOS'!$C$22*L231+'⚙️ SUPUESTOS'!$C$23*M231+'⚙️ SUPUESTOS'!$C$24*N231,4))</f>
        <v/>
      </c>
      <c r="P231" s="64" t="str">
        <f>IF($C231="","",VLOOKUP($E231,'📊 SECCIONES'!$B$4:$S$9,7,FALSE()))</f>
        <v/>
      </c>
      <c r="Q231" s="65" t="str">
        <f>IF($C231="","",VLOOKUP($E231,'📊 SECCIONES'!$B$4:$S$9,8,FALSE()))</f>
        <v/>
      </c>
      <c r="R231" s="64" t="str">
        <f>IF($C231="","",VLOOKUP($E231,'📊 SECCIONES'!$B$4:$S$9,10,FALSE()))</f>
        <v/>
      </c>
      <c r="S231" s="59" t="str">
        <f>IF('📇 INVENTARIO'!K232="","",'📇 INVENTARIO'!K232)</f>
        <v/>
      </c>
      <c r="T231" s="66" t="str">
        <f t="shared" si="12"/>
        <v/>
      </c>
      <c r="U231" s="59" t="str">
        <f t="shared" si="13"/>
        <v/>
      </c>
      <c r="V231" s="67" t="str">
        <f>IF('📇 INVENTARIO'!L232="","",'📇 INVENTARIO'!L232)</f>
        <v/>
      </c>
      <c r="W231" s="64" t="str">
        <f>IF($C231="","",V231*'⚙️ SUPUESTOS'!$C$8*'⚙️ SUPUESTOS'!$C$9)</f>
        <v/>
      </c>
      <c r="X231" s="67" t="str">
        <f>IF('📇 INVENTARIO'!N232="","",'📇 INVENTARIO'!N232)</f>
        <v/>
      </c>
      <c r="Y231" s="67" t="str">
        <f>IF($C231="","",W231*X231*'⚙️ SUPUESTOS'!$C$7)</f>
        <v/>
      </c>
      <c r="Z231" s="65" t="str">
        <f>IF($C231="","",W231*'⚙️ SUPUESTOS'!$C$10)</f>
        <v/>
      </c>
      <c r="AA231" s="65" t="str">
        <f>IF($C231="","",Y231*('⚙️ SUPUESTOS'!$C$12*'⚙️ SUPUESTOS'!$C$11+(1-'⚙️ SUPUESTOS'!$C$12)*'⚙️ SUPUESTOS'!$C$13))</f>
        <v/>
      </c>
      <c r="AB231" s="65" t="str">
        <f>IF($C231="","",IF(Y231&gt;0,ROUND(Y231*'⚙️ SUPUESTOS'!$C$12*'⚙️ SUPUESTOS'!$C$11,0),""))</f>
        <v/>
      </c>
      <c r="AC231" s="65" t="str">
        <f>IF($C231="","",IF(Y231&gt;0,ROUND(Y231*(1-'⚙️ SUPUESTOS'!$C$12)*'⚙️ SUPUESTOS'!$C$13,0),""))</f>
        <v/>
      </c>
      <c r="AD231" s="65" t="str">
        <f t="shared" si="14"/>
        <v/>
      </c>
      <c r="AE231" s="64" t="str">
        <f t="shared" si="15"/>
        <v/>
      </c>
      <c r="AF231" s="59" t="str">
        <f>IF($C231="","",IF(AE231="","—",IF(AE231&lt;='⚙️ SUPUESTOS'!$C$32,"✔ Muy recomendable",IF(AE231&lt;='⚙️ SUPUESTOS'!$C$33,"✔ Recomendable","Valorar"))))</f>
        <v/>
      </c>
      <c r="AG231" s="68" t="str">
        <f>IF('📇 INVENTARIO'!O232="","",'📇 INVENTARIO'!O232)</f>
        <v/>
      </c>
      <c r="AH231" s="68" t="str">
        <f>IF('📇 INVENTARIO'!P232="","",'📇 INVENTARIO'!P232)</f>
        <v/>
      </c>
    </row>
    <row r="232" spans="1:34" ht="45" customHeight="1">
      <c r="A232" s="69" t="str">
        <f>IF($C232="","",RANK(O232,$O$3:$O$265,0)+COUNTIF($O$3:O232,O232)-1)</f>
        <v/>
      </c>
      <c r="B232" s="70" t="str">
        <f>IF($C232="","",IF(A232&lt;='⚙️ SUPUESTOS'!$C$29,"Fase 1",IF(A232&lt;='⚙️ SUPUESTOS'!$C$30,"Fase 2","Fase 3")))</f>
        <v/>
      </c>
      <c r="C232" s="71" t="str">
        <f>IF('📇 INVENTARIO'!B233="","",'📇 INVENTARIO'!B233)</f>
        <v/>
      </c>
      <c r="D232" s="70" t="str">
        <f>IF('📇 INVENTARIO'!C233="","",'📇 INVENTARIO'!C233)</f>
        <v/>
      </c>
      <c r="E232" s="70" t="str">
        <f>IF('📇 INVENTARIO'!D233="","",'📇 INVENTARIO'!D233)</f>
        <v/>
      </c>
      <c r="F232" s="70" t="str">
        <f>IF('📇 INVENTARIO'!F233="","",'📇 INVENTARIO'!F233)</f>
        <v/>
      </c>
      <c r="G232" s="72" t="str">
        <f>IF('📇 INVENTARIO'!G233="","",'📇 INVENTARIO'!G233)</f>
        <v/>
      </c>
      <c r="H232" s="72" t="str">
        <f>IF('📇 INVENTARIO'!H233="","",'📇 INVENTARIO'!H233)</f>
        <v/>
      </c>
      <c r="I232" s="72" t="str">
        <f>IF('📇 INVENTARIO'!I233="","",'📇 INVENTARIO'!I233)</f>
        <v/>
      </c>
      <c r="J232" s="72" t="str">
        <f>IF('📇 INVENTARIO'!J233="","",'📇 INVENTARIO'!J233)</f>
        <v/>
      </c>
      <c r="K232" s="73" t="str">
        <f>IF($C232="","",(G232-'⚙️ SUPUESTOS'!$C$20)/('⚙️ SUPUESTOS'!$C$25-'⚙️ SUPUESTOS'!$C$20))</f>
        <v/>
      </c>
      <c r="L232" s="73" t="str">
        <f>IF($C232="","",VLOOKUP($E232,'📊 SECCIONES'!$B$4:$S$9,16,FALSE()))</f>
        <v/>
      </c>
      <c r="M232" s="73" t="str">
        <f>IF($C232="","",VLOOKUP($E232,'📊 SECCIONES'!$B$4:$S$9,17,FALSE()))</f>
        <v/>
      </c>
      <c r="N232" s="73" t="str">
        <f>IF($C232="","",VLOOKUP($E232,'📊 SECCIONES'!$B$4:$S$9,18,FALSE()))</f>
        <v/>
      </c>
      <c r="O232" s="74" t="str">
        <f>IF($C232="","",ROUND('⚙️ SUPUESTOS'!$C$21*K232+'⚙️ SUPUESTOS'!$C$22*L232+'⚙️ SUPUESTOS'!$C$23*M232+'⚙️ SUPUESTOS'!$C$24*N232,4))</f>
        <v/>
      </c>
      <c r="P232" s="75" t="str">
        <f>IF($C232="","",VLOOKUP($E232,'📊 SECCIONES'!$B$4:$S$9,7,FALSE()))</f>
        <v/>
      </c>
      <c r="Q232" s="76" t="str">
        <f>IF($C232="","",VLOOKUP($E232,'📊 SECCIONES'!$B$4:$S$9,8,FALSE()))</f>
        <v/>
      </c>
      <c r="R232" s="75" t="str">
        <f>IF($C232="","",VLOOKUP($E232,'📊 SECCIONES'!$B$4:$S$9,10,FALSE()))</f>
        <v/>
      </c>
      <c r="S232" s="70" t="str">
        <f>IF('📇 INVENTARIO'!K233="","",'📇 INVENTARIO'!K233)</f>
        <v/>
      </c>
      <c r="T232" s="77" t="str">
        <f t="shared" si="12"/>
        <v/>
      </c>
      <c r="U232" s="70" t="str">
        <f t="shared" si="13"/>
        <v/>
      </c>
      <c r="V232" s="78" t="str">
        <f>IF('📇 INVENTARIO'!L233="","",'📇 INVENTARIO'!L233)</f>
        <v/>
      </c>
      <c r="W232" s="75" t="str">
        <f>IF($C232="","",V232*'⚙️ SUPUESTOS'!$C$8*'⚙️ SUPUESTOS'!$C$9)</f>
        <v/>
      </c>
      <c r="X232" s="78" t="str">
        <f>IF('📇 INVENTARIO'!N233="","",'📇 INVENTARIO'!N233)</f>
        <v/>
      </c>
      <c r="Y232" s="78" t="str">
        <f>IF($C232="","",W232*X232*'⚙️ SUPUESTOS'!$C$7)</f>
        <v/>
      </c>
      <c r="Z232" s="76" t="str">
        <f>IF($C232="","",W232*'⚙️ SUPUESTOS'!$C$10)</f>
        <v/>
      </c>
      <c r="AA232" s="76" t="str">
        <f>IF($C232="","",Y232*('⚙️ SUPUESTOS'!$C$12*'⚙️ SUPUESTOS'!$C$11+(1-'⚙️ SUPUESTOS'!$C$12)*'⚙️ SUPUESTOS'!$C$13))</f>
        <v/>
      </c>
      <c r="AB232" s="76" t="str">
        <f>IF($C232="","",IF(Y232&gt;0,ROUND(Y232*'⚙️ SUPUESTOS'!$C$12*'⚙️ SUPUESTOS'!$C$11,0),""))</f>
        <v/>
      </c>
      <c r="AC232" s="76" t="str">
        <f>IF($C232="","",IF(Y232&gt;0,ROUND(Y232*(1-'⚙️ SUPUESTOS'!$C$12)*'⚙️ SUPUESTOS'!$C$13,0),""))</f>
        <v/>
      </c>
      <c r="AD232" s="76" t="str">
        <f t="shared" si="14"/>
        <v/>
      </c>
      <c r="AE232" s="75" t="str">
        <f t="shared" si="15"/>
        <v/>
      </c>
      <c r="AF232" s="70" t="str">
        <f>IF($C232="","",IF(AE232="","—",IF(AE232&lt;='⚙️ SUPUESTOS'!$C$32,"✔ Muy recomendable",IF(AE232&lt;='⚙️ SUPUESTOS'!$C$33,"✔ Recomendable","Valorar"))))</f>
        <v/>
      </c>
      <c r="AG232" s="79" t="str">
        <f>IF('📇 INVENTARIO'!O233="","",'📇 INVENTARIO'!O233)</f>
        <v/>
      </c>
      <c r="AH232" s="79" t="str">
        <f>IF('📇 INVENTARIO'!P233="","",'📇 INVENTARIO'!P233)</f>
        <v/>
      </c>
    </row>
    <row r="233" spans="1:34" ht="45" customHeight="1">
      <c r="A233" s="58" t="str">
        <f>IF($C233="","",RANK(O233,$O$3:$O$265,0)+COUNTIF($O$3:O233,O233)-1)</f>
        <v/>
      </c>
      <c r="B233" s="59" t="str">
        <f>IF($C233="","",IF(A233&lt;='⚙️ SUPUESTOS'!$C$29,"Fase 1",IF(A233&lt;='⚙️ SUPUESTOS'!$C$30,"Fase 2","Fase 3")))</f>
        <v/>
      </c>
      <c r="C233" s="60" t="str">
        <f>IF('📇 INVENTARIO'!B234="","",'📇 INVENTARIO'!B234)</f>
        <v/>
      </c>
      <c r="D233" s="59" t="str">
        <f>IF('📇 INVENTARIO'!C234="","",'📇 INVENTARIO'!C234)</f>
        <v/>
      </c>
      <c r="E233" s="59" t="str">
        <f>IF('📇 INVENTARIO'!D234="","",'📇 INVENTARIO'!D234)</f>
        <v/>
      </c>
      <c r="F233" s="59" t="str">
        <f>IF('📇 INVENTARIO'!F234="","",'📇 INVENTARIO'!F234)</f>
        <v/>
      </c>
      <c r="G233" s="61" t="str">
        <f>IF('📇 INVENTARIO'!G234="","",'📇 INVENTARIO'!G234)</f>
        <v/>
      </c>
      <c r="H233" s="61" t="str">
        <f>IF('📇 INVENTARIO'!H234="","",'📇 INVENTARIO'!H234)</f>
        <v/>
      </c>
      <c r="I233" s="61" t="str">
        <f>IF('📇 INVENTARIO'!I234="","",'📇 INVENTARIO'!I234)</f>
        <v/>
      </c>
      <c r="J233" s="61" t="str">
        <f>IF('📇 INVENTARIO'!J234="","",'📇 INVENTARIO'!J234)</f>
        <v/>
      </c>
      <c r="K233" s="62" t="str">
        <f>IF($C233="","",(G233-'⚙️ SUPUESTOS'!$C$20)/('⚙️ SUPUESTOS'!$C$25-'⚙️ SUPUESTOS'!$C$20))</f>
        <v/>
      </c>
      <c r="L233" s="62" t="str">
        <f>IF($C233="","",VLOOKUP($E233,'📊 SECCIONES'!$B$4:$S$9,16,FALSE()))</f>
        <v/>
      </c>
      <c r="M233" s="62" t="str">
        <f>IF($C233="","",VLOOKUP($E233,'📊 SECCIONES'!$B$4:$S$9,17,FALSE()))</f>
        <v/>
      </c>
      <c r="N233" s="62" t="str">
        <f>IF($C233="","",VLOOKUP($E233,'📊 SECCIONES'!$B$4:$S$9,18,FALSE()))</f>
        <v/>
      </c>
      <c r="O233" s="63" t="str">
        <f>IF($C233="","",ROUND('⚙️ SUPUESTOS'!$C$21*K233+'⚙️ SUPUESTOS'!$C$22*L233+'⚙️ SUPUESTOS'!$C$23*M233+'⚙️ SUPUESTOS'!$C$24*N233,4))</f>
        <v/>
      </c>
      <c r="P233" s="64" t="str">
        <f>IF($C233="","",VLOOKUP($E233,'📊 SECCIONES'!$B$4:$S$9,7,FALSE()))</f>
        <v/>
      </c>
      <c r="Q233" s="65" t="str">
        <f>IF($C233="","",VLOOKUP($E233,'📊 SECCIONES'!$B$4:$S$9,8,FALSE()))</f>
        <v/>
      </c>
      <c r="R233" s="64" t="str">
        <f>IF($C233="","",VLOOKUP($E233,'📊 SECCIONES'!$B$4:$S$9,10,FALSE()))</f>
        <v/>
      </c>
      <c r="S233" s="59" t="str">
        <f>IF('📇 INVENTARIO'!K234="","",'📇 INVENTARIO'!K234)</f>
        <v/>
      </c>
      <c r="T233" s="66" t="str">
        <f t="shared" si="12"/>
        <v/>
      </c>
      <c r="U233" s="59" t="str">
        <f t="shared" si="13"/>
        <v/>
      </c>
      <c r="V233" s="67" t="str">
        <f>IF('📇 INVENTARIO'!L234="","",'📇 INVENTARIO'!L234)</f>
        <v/>
      </c>
      <c r="W233" s="64" t="str">
        <f>IF($C233="","",V233*'⚙️ SUPUESTOS'!$C$8*'⚙️ SUPUESTOS'!$C$9)</f>
        <v/>
      </c>
      <c r="X233" s="67" t="str">
        <f>IF('📇 INVENTARIO'!N234="","",'📇 INVENTARIO'!N234)</f>
        <v/>
      </c>
      <c r="Y233" s="67" t="str">
        <f>IF($C233="","",W233*X233*'⚙️ SUPUESTOS'!$C$7)</f>
        <v/>
      </c>
      <c r="Z233" s="65" t="str">
        <f>IF($C233="","",W233*'⚙️ SUPUESTOS'!$C$10)</f>
        <v/>
      </c>
      <c r="AA233" s="65" t="str">
        <f>IF($C233="","",Y233*('⚙️ SUPUESTOS'!$C$12*'⚙️ SUPUESTOS'!$C$11+(1-'⚙️ SUPUESTOS'!$C$12)*'⚙️ SUPUESTOS'!$C$13))</f>
        <v/>
      </c>
      <c r="AB233" s="65" t="str">
        <f>IF($C233="","",IF(Y233&gt;0,ROUND(Y233*'⚙️ SUPUESTOS'!$C$12*'⚙️ SUPUESTOS'!$C$11,0),""))</f>
        <v/>
      </c>
      <c r="AC233" s="65" t="str">
        <f>IF($C233="","",IF(Y233&gt;0,ROUND(Y233*(1-'⚙️ SUPUESTOS'!$C$12)*'⚙️ SUPUESTOS'!$C$13,0),""))</f>
        <v/>
      </c>
      <c r="AD233" s="65" t="str">
        <f t="shared" si="14"/>
        <v/>
      </c>
      <c r="AE233" s="64" t="str">
        <f t="shared" si="15"/>
        <v/>
      </c>
      <c r="AF233" s="59" t="str">
        <f>IF($C233="","",IF(AE233="","—",IF(AE233&lt;='⚙️ SUPUESTOS'!$C$32,"✔ Muy recomendable",IF(AE233&lt;='⚙️ SUPUESTOS'!$C$33,"✔ Recomendable","Valorar"))))</f>
        <v/>
      </c>
      <c r="AG233" s="68" t="str">
        <f>IF('📇 INVENTARIO'!O234="","",'📇 INVENTARIO'!O234)</f>
        <v/>
      </c>
      <c r="AH233" s="68" t="str">
        <f>IF('📇 INVENTARIO'!P234="","",'📇 INVENTARIO'!P234)</f>
        <v/>
      </c>
    </row>
    <row r="234" spans="1:34" ht="45" customHeight="1">
      <c r="A234" s="69" t="str">
        <f>IF($C234="","",RANK(O234,$O$3:$O$265,0)+COUNTIF($O$3:O234,O234)-1)</f>
        <v/>
      </c>
      <c r="B234" s="70" t="str">
        <f>IF($C234="","",IF(A234&lt;='⚙️ SUPUESTOS'!$C$29,"Fase 1",IF(A234&lt;='⚙️ SUPUESTOS'!$C$30,"Fase 2","Fase 3")))</f>
        <v/>
      </c>
      <c r="C234" s="71" t="str">
        <f>IF('📇 INVENTARIO'!B235="","",'📇 INVENTARIO'!B235)</f>
        <v/>
      </c>
      <c r="D234" s="70" t="str">
        <f>IF('📇 INVENTARIO'!C235="","",'📇 INVENTARIO'!C235)</f>
        <v/>
      </c>
      <c r="E234" s="70" t="str">
        <f>IF('📇 INVENTARIO'!D235="","",'📇 INVENTARIO'!D235)</f>
        <v/>
      </c>
      <c r="F234" s="70" t="str">
        <f>IF('📇 INVENTARIO'!F235="","",'📇 INVENTARIO'!F235)</f>
        <v/>
      </c>
      <c r="G234" s="72" t="str">
        <f>IF('📇 INVENTARIO'!G235="","",'📇 INVENTARIO'!G235)</f>
        <v/>
      </c>
      <c r="H234" s="72" t="str">
        <f>IF('📇 INVENTARIO'!H235="","",'📇 INVENTARIO'!H235)</f>
        <v/>
      </c>
      <c r="I234" s="72" t="str">
        <f>IF('📇 INVENTARIO'!I235="","",'📇 INVENTARIO'!I235)</f>
        <v/>
      </c>
      <c r="J234" s="72" t="str">
        <f>IF('📇 INVENTARIO'!J235="","",'📇 INVENTARIO'!J235)</f>
        <v/>
      </c>
      <c r="K234" s="73" t="str">
        <f>IF($C234="","",(G234-'⚙️ SUPUESTOS'!$C$20)/('⚙️ SUPUESTOS'!$C$25-'⚙️ SUPUESTOS'!$C$20))</f>
        <v/>
      </c>
      <c r="L234" s="73" t="str">
        <f>IF($C234="","",VLOOKUP($E234,'📊 SECCIONES'!$B$4:$S$9,16,FALSE()))</f>
        <v/>
      </c>
      <c r="M234" s="73" t="str">
        <f>IF($C234="","",VLOOKUP($E234,'📊 SECCIONES'!$B$4:$S$9,17,FALSE()))</f>
        <v/>
      </c>
      <c r="N234" s="73" t="str">
        <f>IF($C234="","",VLOOKUP($E234,'📊 SECCIONES'!$B$4:$S$9,18,FALSE()))</f>
        <v/>
      </c>
      <c r="O234" s="74" t="str">
        <f>IF($C234="","",ROUND('⚙️ SUPUESTOS'!$C$21*K234+'⚙️ SUPUESTOS'!$C$22*L234+'⚙️ SUPUESTOS'!$C$23*M234+'⚙️ SUPUESTOS'!$C$24*N234,4))</f>
        <v/>
      </c>
      <c r="P234" s="75" t="str">
        <f>IF($C234="","",VLOOKUP($E234,'📊 SECCIONES'!$B$4:$S$9,7,FALSE()))</f>
        <v/>
      </c>
      <c r="Q234" s="76" t="str">
        <f>IF($C234="","",VLOOKUP($E234,'📊 SECCIONES'!$B$4:$S$9,8,FALSE()))</f>
        <v/>
      </c>
      <c r="R234" s="75" t="str">
        <f>IF($C234="","",VLOOKUP($E234,'📊 SECCIONES'!$B$4:$S$9,10,FALSE()))</f>
        <v/>
      </c>
      <c r="S234" s="70" t="str">
        <f>IF('📇 INVENTARIO'!K235="","",'📇 INVENTARIO'!K235)</f>
        <v/>
      </c>
      <c r="T234" s="77" t="str">
        <f t="shared" si="12"/>
        <v/>
      </c>
      <c r="U234" s="70" t="str">
        <f t="shared" si="13"/>
        <v/>
      </c>
      <c r="V234" s="78" t="str">
        <f>IF('📇 INVENTARIO'!L235="","",'📇 INVENTARIO'!L235)</f>
        <v/>
      </c>
      <c r="W234" s="75" t="str">
        <f>IF($C234="","",V234*'⚙️ SUPUESTOS'!$C$8*'⚙️ SUPUESTOS'!$C$9)</f>
        <v/>
      </c>
      <c r="X234" s="78" t="str">
        <f>IF('📇 INVENTARIO'!N235="","",'📇 INVENTARIO'!N235)</f>
        <v/>
      </c>
      <c r="Y234" s="78" t="str">
        <f>IF($C234="","",W234*X234*'⚙️ SUPUESTOS'!$C$7)</f>
        <v/>
      </c>
      <c r="Z234" s="76" t="str">
        <f>IF($C234="","",W234*'⚙️ SUPUESTOS'!$C$10)</f>
        <v/>
      </c>
      <c r="AA234" s="76" t="str">
        <f>IF($C234="","",Y234*('⚙️ SUPUESTOS'!$C$12*'⚙️ SUPUESTOS'!$C$11+(1-'⚙️ SUPUESTOS'!$C$12)*'⚙️ SUPUESTOS'!$C$13))</f>
        <v/>
      </c>
      <c r="AB234" s="76" t="str">
        <f>IF($C234="","",IF(Y234&gt;0,ROUND(Y234*'⚙️ SUPUESTOS'!$C$12*'⚙️ SUPUESTOS'!$C$11,0),""))</f>
        <v/>
      </c>
      <c r="AC234" s="76" t="str">
        <f>IF($C234="","",IF(Y234&gt;0,ROUND(Y234*(1-'⚙️ SUPUESTOS'!$C$12)*'⚙️ SUPUESTOS'!$C$13,0),""))</f>
        <v/>
      </c>
      <c r="AD234" s="76" t="str">
        <f t="shared" si="14"/>
        <v/>
      </c>
      <c r="AE234" s="75" t="str">
        <f t="shared" si="15"/>
        <v/>
      </c>
      <c r="AF234" s="70" t="str">
        <f>IF($C234="","",IF(AE234="","—",IF(AE234&lt;='⚙️ SUPUESTOS'!$C$32,"✔ Muy recomendable",IF(AE234&lt;='⚙️ SUPUESTOS'!$C$33,"✔ Recomendable","Valorar"))))</f>
        <v/>
      </c>
      <c r="AG234" s="79" t="str">
        <f>IF('📇 INVENTARIO'!O235="","",'📇 INVENTARIO'!O235)</f>
        <v/>
      </c>
      <c r="AH234" s="79" t="str">
        <f>IF('📇 INVENTARIO'!P235="","",'📇 INVENTARIO'!P235)</f>
        <v/>
      </c>
    </row>
    <row r="235" spans="1:34" ht="45" customHeight="1">
      <c r="A235" s="58" t="str">
        <f>IF($C235="","",RANK(O235,$O$3:$O$265,0)+COUNTIF($O$3:O235,O235)-1)</f>
        <v/>
      </c>
      <c r="B235" s="59" t="str">
        <f>IF($C235="","",IF(A235&lt;='⚙️ SUPUESTOS'!$C$29,"Fase 1",IF(A235&lt;='⚙️ SUPUESTOS'!$C$30,"Fase 2","Fase 3")))</f>
        <v/>
      </c>
      <c r="C235" s="60" t="str">
        <f>IF('📇 INVENTARIO'!B236="","",'📇 INVENTARIO'!B236)</f>
        <v/>
      </c>
      <c r="D235" s="59" t="str">
        <f>IF('📇 INVENTARIO'!C236="","",'📇 INVENTARIO'!C236)</f>
        <v/>
      </c>
      <c r="E235" s="59" t="str">
        <f>IF('📇 INVENTARIO'!D236="","",'📇 INVENTARIO'!D236)</f>
        <v/>
      </c>
      <c r="F235" s="59" t="str">
        <f>IF('📇 INVENTARIO'!F236="","",'📇 INVENTARIO'!F236)</f>
        <v/>
      </c>
      <c r="G235" s="61" t="str">
        <f>IF('📇 INVENTARIO'!G236="","",'📇 INVENTARIO'!G236)</f>
        <v/>
      </c>
      <c r="H235" s="61" t="str">
        <f>IF('📇 INVENTARIO'!H236="","",'📇 INVENTARIO'!H236)</f>
        <v/>
      </c>
      <c r="I235" s="61" t="str">
        <f>IF('📇 INVENTARIO'!I236="","",'📇 INVENTARIO'!I236)</f>
        <v/>
      </c>
      <c r="J235" s="61" t="str">
        <f>IF('📇 INVENTARIO'!J236="","",'📇 INVENTARIO'!J236)</f>
        <v/>
      </c>
      <c r="K235" s="62" t="str">
        <f>IF($C235="","",(G235-'⚙️ SUPUESTOS'!$C$20)/('⚙️ SUPUESTOS'!$C$25-'⚙️ SUPUESTOS'!$C$20))</f>
        <v/>
      </c>
      <c r="L235" s="62" t="str">
        <f>IF($C235="","",VLOOKUP($E235,'📊 SECCIONES'!$B$4:$S$9,16,FALSE()))</f>
        <v/>
      </c>
      <c r="M235" s="62" t="str">
        <f>IF($C235="","",VLOOKUP($E235,'📊 SECCIONES'!$B$4:$S$9,17,FALSE()))</f>
        <v/>
      </c>
      <c r="N235" s="62" t="str">
        <f>IF($C235="","",VLOOKUP($E235,'📊 SECCIONES'!$B$4:$S$9,18,FALSE()))</f>
        <v/>
      </c>
      <c r="O235" s="63" t="str">
        <f>IF($C235="","",ROUND('⚙️ SUPUESTOS'!$C$21*K235+'⚙️ SUPUESTOS'!$C$22*L235+'⚙️ SUPUESTOS'!$C$23*M235+'⚙️ SUPUESTOS'!$C$24*N235,4))</f>
        <v/>
      </c>
      <c r="P235" s="64" t="str">
        <f>IF($C235="","",VLOOKUP($E235,'📊 SECCIONES'!$B$4:$S$9,7,FALSE()))</f>
        <v/>
      </c>
      <c r="Q235" s="65" t="str">
        <f>IF($C235="","",VLOOKUP($E235,'📊 SECCIONES'!$B$4:$S$9,8,FALSE()))</f>
        <v/>
      </c>
      <c r="R235" s="64" t="str">
        <f>IF($C235="","",VLOOKUP($E235,'📊 SECCIONES'!$B$4:$S$9,10,FALSE()))</f>
        <v/>
      </c>
      <c r="S235" s="59" t="str">
        <f>IF('📇 INVENTARIO'!K236="","",'📇 INVENTARIO'!K236)</f>
        <v/>
      </c>
      <c r="T235" s="66" t="str">
        <f t="shared" si="12"/>
        <v/>
      </c>
      <c r="U235" s="59" t="str">
        <f t="shared" si="13"/>
        <v/>
      </c>
      <c r="V235" s="67" t="str">
        <f>IF('📇 INVENTARIO'!L236="","",'📇 INVENTARIO'!L236)</f>
        <v/>
      </c>
      <c r="W235" s="64" t="str">
        <f>IF($C235="","",V235*'⚙️ SUPUESTOS'!$C$8*'⚙️ SUPUESTOS'!$C$9)</f>
        <v/>
      </c>
      <c r="X235" s="67" t="str">
        <f>IF('📇 INVENTARIO'!N236="","",'📇 INVENTARIO'!N236)</f>
        <v/>
      </c>
      <c r="Y235" s="67" t="str">
        <f>IF($C235="","",W235*X235*'⚙️ SUPUESTOS'!$C$7)</f>
        <v/>
      </c>
      <c r="Z235" s="65" t="str">
        <f>IF($C235="","",W235*'⚙️ SUPUESTOS'!$C$10)</f>
        <v/>
      </c>
      <c r="AA235" s="65" t="str">
        <f>IF($C235="","",Y235*('⚙️ SUPUESTOS'!$C$12*'⚙️ SUPUESTOS'!$C$11+(1-'⚙️ SUPUESTOS'!$C$12)*'⚙️ SUPUESTOS'!$C$13))</f>
        <v/>
      </c>
      <c r="AB235" s="65" t="str">
        <f>IF($C235="","",IF(Y235&gt;0,ROUND(Y235*'⚙️ SUPUESTOS'!$C$12*'⚙️ SUPUESTOS'!$C$11,0),""))</f>
        <v/>
      </c>
      <c r="AC235" s="65" t="str">
        <f>IF($C235="","",IF(Y235&gt;0,ROUND(Y235*(1-'⚙️ SUPUESTOS'!$C$12)*'⚙️ SUPUESTOS'!$C$13,0),""))</f>
        <v/>
      </c>
      <c r="AD235" s="65" t="str">
        <f t="shared" si="14"/>
        <v/>
      </c>
      <c r="AE235" s="64" t="str">
        <f t="shared" si="15"/>
        <v/>
      </c>
      <c r="AF235" s="59" t="str">
        <f>IF($C235="","",IF(AE235="","—",IF(AE235&lt;='⚙️ SUPUESTOS'!$C$32,"✔ Muy recomendable",IF(AE235&lt;='⚙️ SUPUESTOS'!$C$33,"✔ Recomendable","Valorar"))))</f>
        <v/>
      </c>
      <c r="AG235" s="68" t="str">
        <f>IF('📇 INVENTARIO'!O236="","",'📇 INVENTARIO'!O236)</f>
        <v/>
      </c>
      <c r="AH235" s="68" t="str">
        <f>IF('📇 INVENTARIO'!P236="","",'📇 INVENTARIO'!P236)</f>
        <v/>
      </c>
    </row>
    <row r="236" spans="1:34" ht="45" customHeight="1">
      <c r="A236" s="69" t="str">
        <f>IF($C236="","",RANK(O236,$O$3:$O$265,0)+COUNTIF($O$3:O236,O236)-1)</f>
        <v/>
      </c>
      <c r="B236" s="70" t="str">
        <f>IF($C236="","",IF(A236&lt;='⚙️ SUPUESTOS'!$C$29,"Fase 1",IF(A236&lt;='⚙️ SUPUESTOS'!$C$30,"Fase 2","Fase 3")))</f>
        <v/>
      </c>
      <c r="C236" s="71" t="str">
        <f>IF('📇 INVENTARIO'!B237="","",'📇 INVENTARIO'!B237)</f>
        <v/>
      </c>
      <c r="D236" s="70" t="str">
        <f>IF('📇 INVENTARIO'!C237="","",'📇 INVENTARIO'!C237)</f>
        <v/>
      </c>
      <c r="E236" s="70" t="str">
        <f>IF('📇 INVENTARIO'!D237="","",'📇 INVENTARIO'!D237)</f>
        <v/>
      </c>
      <c r="F236" s="70" t="str">
        <f>IF('📇 INVENTARIO'!F237="","",'📇 INVENTARIO'!F237)</f>
        <v/>
      </c>
      <c r="G236" s="72" t="str">
        <f>IF('📇 INVENTARIO'!G237="","",'📇 INVENTARIO'!G237)</f>
        <v/>
      </c>
      <c r="H236" s="72" t="str">
        <f>IF('📇 INVENTARIO'!H237="","",'📇 INVENTARIO'!H237)</f>
        <v/>
      </c>
      <c r="I236" s="72" t="str">
        <f>IF('📇 INVENTARIO'!I237="","",'📇 INVENTARIO'!I237)</f>
        <v/>
      </c>
      <c r="J236" s="72" t="str">
        <f>IF('📇 INVENTARIO'!J237="","",'📇 INVENTARIO'!J237)</f>
        <v/>
      </c>
      <c r="K236" s="73" t="str">
        <f>IF($C236="","",(G236-'⚙️ SUPUESTOS'!$C$20)/('⚙️ SUPUESTOS'!$C$25-'⚙️ SUPUESTOS'!$C$20))</f>
        <v/>
      </c>
      <c r="L236" s="73" t="str">
        <f>IF($C236="","",VLOOKUP($E236,'📊 SECCIONES'!$B$4:$S$9,16,FALSE()))</f>
        <v/>
      </c>
      <c r="M236" s="73" t="str">
        <f>IF($C236="","",VLOOKUP($E236,'📊 SECCIONES'!$B$4:$S$9,17,FALSE()))</f>
        <v/>
      </c>
      <c r="N236" s="73" t="str">
        <f>IF($C236="","",VLOOKUP($E236,'📊 SECCIONES'!$B$4:$S$9,18,FALSE()))</f>
        <v/>
      </c>
      <c r="O236" s="74" t="str">
        <f>IF($C236="","",ROUND('⚙️ SUPUESTOS'!$C$21*K236+'⚙️ SUPUESTOS'!$C$22*L236+'⚙️ SUPUESTOS'!$C$23*M236+'⚙️ SUPUESTOS'!$C$24*N236,4))</f>
        <v/>
      </c>
      <c r="P236" s="75" t="str">
        <f>IF($C236="","",VLOOKUP($E236,'📊 SECCIONES'!$B$4:$S$9,7,FALSE()))</f>
        <v/>
      </c>
      <c r="Q236" s="76" t="str">
        <f>IF($C236="","",VLOOKUP($E236,'📊 SECCIONES'!$B$4:$S$9,8,FALSE()))</f>
        <v/>
      </c>
      <c r="R236" s="75" t="str">
        <f>IF($C236="","",VLOOKUP($E236,'📊 SECCIONES'!$B$4:$S$9,10,FALSE()))</f>
        <v/>
      </c>
      <c r="S236" s="70" t="str">
        <f>IF('📇 INVENTARIO'!K237="","",'📇 INVENTARIO'!K237)</f>
        <v/>
      </c>
      <c r="T236" s="77" t="str">
        <f t="shared" si="12"/>
        <v/>
      </c>
      <c r="U236" s="70" t="str">
        <f t="shared" si="13"/>
        <v/>
      </c>
      <c r="V236" s="78" t="str">
        <f>IF('📇 INVENTARIO'!L237="","",'📇 INVENTARIO'!L237)</f>
        <v/>
      </c>
      <c r="W236" s="75" t="str">
        <f>IF($C236="","",V236*'⚙️ SUPUESTOS'!$C$8*'⚙️ SUPUESTOS'!$C$9)</f>
        <v/>
      </c>
      <c r="X236" s="78" t="str">
        <f>IF('📇 INVENTARIO'!N237="","",'📇 INVENTARIO'!N237)</f>
        <v/>
      </c>
      <c r="Y236" s="78" t="str">
        <f>IF($C236="","",W236*X236*'⚙️ SUPUESTOS'!$C$7)</f>
        <v/>
      </c>
      <c r="Z236" s="76" t="str">
        <f>IF($C236="","",W236*'⚙️ SUPUESTOS'!$C$10)</f>
        <v/>
      </c>
      <c r="AA236" s="76" t="str">
        <f>IF($C236="","",Y236*('⚙️ SUPUESTOS'!$C$12*'⚙️ SUPUESTOS'!$C$11+(1-'⚙️ SUPUESTOS'!$C$12)*'⚙️ SUPUESTOS'!$C$13))</f>
        <v/>
      </c>
      <c r="AB236" s="76" t="str">
        <f>IF($C236="","",IF(Y236&gt;0,ROUND(Y236*'⚙️ SUPUESTOS'!$C$12*'⚙️ SUPUESTOS'!$C$11,0),""))</f>
        <v/>
      </c>
      <c r="AC236" s="76" t="str">
        <f>IF($C236="","",IF(Y236&gt;0,ROUND(Y236*(1-'⚙️ SUPUESTOS'!$C$12)*'⚙️ SUPUESTOS'!$C$13,0),""))</f>
        <v/>
      </c>
      <c r="AD236" s="76" t="str">
        <f t="shared" si="14"/>
        <v/>
      </c>
      <c r="AE236" s="75" t="str">
        <f t="shared" si="15"/>
        <v/>
      </c>
      <c r="AF236" s="70" t="str">
        <f>IF($C236="","",IF(AE236="","—",IF(AE236&lt;='⚙️ SUPUESTOS'!$C$32,"✔ Muy recomendable",IF(AE236&lt;='⚙️ SUPUESTOS'!$C$33,"✔ Recomendable","Valorar"))))</f>
        <v/>
      </c>
      <c r="AG236" s="79" t="str">
        <f>IF('📇 INVENTARIO'!O237="","",'📇 INVENTARIO'!O237)</f>
        <v/>
      </c>
      <c r="AH236" s="79" t="str">
        <f>IF('📇 INVENTARIO'!P237="","",'📇 INVENTARIO'!P237)</f>
        <v/>
      </c>
    </row>
    <row r="237" spans="1:34" ht="45" customHeight="1">
      <c r="A237" s="58" t="str">
        <f>IF($C237="","",RANK(O237,$O$3:$O$265,0)+COUNTIF($O$3:O237,O237)-1)</f>
        <v/>
      </c>
      <c r="B237" s="59" t="str">
        <f>IF($C237="","",IF(A237&lt;='⚙️ SUPUESTOS'!$C$29,"Fase 1",IF(A237&lt;='⚙️ SUPUESTOS'!$C$30,"Fase 2","Fase 3")))</f>
        <v/>
      </c>
      <c r="C237" s="60" t="str">
        <f>IF('📇 INVENTARIO'!B238="","",'📇 INVENTARIO'!B238)</f>
        <v/>
      </c>
      <c r="D237" s="59" t="str">
        <f>IF('📇 INVENTARIO'!C238="","",'📇 INVENTARIO'!C238)</f>
        <v/>
      </c>
      <c r="E237" s="59" t="str">
        <f>IF('📇 INVENTARIO'!D238="","",'📇 INVENTARIO'!D238)</f>
        <v/>
      </c>
      <c r="F237" s="59" t="str">
        <f>IF('📇 INVENTARIO'!F238="","",'📇 INVENTARIO'!F238)</f>
        <v/>
      </c>
      <c r="G237" s="61" t="str">
        <f>IF('📇 INVENTARIO'!G238="","",'📇 INVENTARIO'!G238)</f>
        <v/>
      </c>
      <c r="H237" s="61" t="str">
        <f>IF('📇 INVENTARIO'!H238="","",'📇 INVENTARIO'!H238)</f>
        <v/>
      </c>
      <c r="I237" s="61" t="str">
        <f>IF('📇 INVENTARIO'!I238="","",'📇 INVENTARIO'!I238)</f>
        <v/>
      </c>
      <c r="J237" s="61" t="str">
        <f>IF('📇 INVENTARIO'!J238="","",'📇 INVENTARIO'!J238)</f>
        <v/>
      </c>
      <c r="K237" s="62" t="str">
        <f>IF($C237="","",(G237-'⚙️ SUPUESTOS'!$C$20)/('⚙️ SUPUESTOS'!$C$25-'⚙️ SUPUESTOS'!$C$20))</f>
        <v/>
      </c>
      <c r="L237" s="62" t="str">
        <f>IF($C237="","",VLOOKUP($E237,'📊 SECCIONES'!$B$4:$S$9,16,FALSE()))</f>
        <v/>
      </c>
      <c r="M237" s="62" t="str">
        <f>IF($C237="","",VLOOKUP($E237,'📊 SECCIONES'!$B$4:$S$9,17,FALSE()))</f>
        <v/>
      </c>
      <c r="N237" s="62" t="str">
        <f>IF($C237="","",VLOOKUP($E237,'📊 SECCIONES'!$B$4:$S$9,18,FALSE()))</f>
        <v/>
      </c>
      <c r="O237" s="63" t="str">
        <f>IF($C237="","",ROUND('⚙️ SUPUESTOS'!$C$21*K237+'⚙️ SUPUESTOS'!$C$22*L237+'⚙️ SUPUESTOS'!$C$23*M237+'⚙️ SUPUESTOS'!$C$24*N237,4))</f>
        <v/>
      </c>
      <c r="P237" s="64" t="str">
        <f>IF($C237="","",VLOOKUP($E237,'📊 SECCIONES'!$B$4:$S$9,7,FALSE()))</f>
        <v/>
      </c>
      <c r="Q237" s="65" t="str">
        <f>IF($C237="","",VLOOKUP($E237,'📊 SECCIONES'!$B$4:$S$9,8,FALSE()))</f>
        <v/>
      </c>
      <c r="R237" s="64" t="str">
        <f>IF($C237="","",VLOOKUP($E237,'📊 SECCIONES'!$B$4:$S$9,10,FALSE()))</f>
        <v/>
      </c>
      <c r="S237" s="59" t="str">
        <f>IF('📇 INVENTARIO'!K238="","",'📇 INVENTARIO'!K238)</f>
        <v/>
      </c>
      <c r="T237" s="66" t="str">
        <f t="shared" si="12"/>
        <v/>
      </c>
      <c r="U237" s="59" t="str">
        <f t="shared" si="13"/>
        <v/>
      </c>
      <c r="V237" s="67" t="str">
        <f>IF('📇 INVENTARIO'!L238="","",'📇 INVENTARIO'!L238)</f>
        <v/>
      </c>
      <c r="W237" s="64" t="str">
        <f>IF($C237="","",V237*'⚙️ SUPUESTOS'!$C$8*'⚙️ SUPUESTOS'!$C$9)</f>
        <v/>
      </c>
      <c r="X237" s="67" t="str">
        <f>IF('📇 INVENTARIO'!N238="","",'📇 INVENTARIO'!N238)</f>
        <v/>
      </c>
      <c r="Y237" s="67" t="str">
        <f>IF($C237="","",W237*X237*'⚙️ SUPUESTOS'!$C$7)</f>
        <v/>
      </c>
      <c r="Z237" s="65" t="str">
        <f>IF($C237="","",W237*'⚙️ SUPUESTOS'!$C$10)</f>
        <v/>
      </c>
      <c r="AA237" s="65" t="str">
        <f>IF($C237="","",Y237*('⚙️ SUPUESTOS'!$C$12*'⚙️ SUPUESTOS'!$C$11+(1-'⚙️ SUPUESTOS'!$C$12)*'⚙️ SUPUESTOS'!$C$13))</f>
        <v/>
      </c>
      <c r="AB237" s="65" t="str">
        <f>IF($C237="","",IF(Y237&gt;0,ROUND(Y237*'⚙️ SUPUESTOS'!$C$12*'⚙️ SUPUESTOS'!$C$11,0),""))</f>
        <v/>
      </c>
      <c r="AC237" s="65" t="str">
        <f>IF($C237="","",IF(Y237&gt;0,ROUND(Y237*(1-'⚙️ SUPUESTOS'!$C$12)*'⚙️ SUPUESTOS'!$C$13,0),""))</f>
        <v/>
      </c>
      <c r="AD237" s="65" t="str">
        <f t="shared" si="14"/>
        <v/>
      </c>
      <c r="AE237" s="64" t="str">
        <f t="shared" si="15"/>
        <v/>
      </c>
      <c r="AF237" s="59" t="str">
        <f>IF($C237="","",IF(AE237="","—",IF(AE237&lt;='⚙️ SUPUESTOS'!$C$32,"✔ Muy recomendable",IF(AE237&lt;='⚙️ SUPUESTOS'!$C$33,"✔ Recomendable","Valorar"))))</f>
        <v/>
      </c>
      <c r="AG237" s="68" t="str">
        <f>IF('📇 INVENTARIO'!O238="","",'📇 INVENTARIO'!O238)</f>
        <v/>
      </c>
      <c r="AH237" s="68" t="str">
        <f>IF('📇 INVENTARIO'!P238="","",'📇 INVENTARIO'!P238)</f>
        <v/>
      </c>
    </row>
    <row r="238" spans="1:34" ht="45" customHeight="1">
      <c r="A238" s="69" t="str">
        <f>IF($C238="","",RANK(O238,$O$3:$O$265,0)+COUNTIF($O$3:O238,O238)-1)</f>
        <v/>
      </c>
      <c r="B238" s="70" t="str">
        <f>IF($C238="","",IF(A238&lt;='⚙️ SUPUESTOS'!$C$29,"Fase 1",IF(A238&lt;='⚙️ SUPUESTOS'!$C$30,"Fase 2","Fase 3")))</f>
        <v/>
      </c>
      <c r="C238" s="71" t="str">
        <f>IF('📇 INVENTARIO'!B239="","",'📇 INVENTARIO'!B239)</f>
        <v/>
      </c>
      <c r="D238" s="70" t="str">
        <f>IF('📇 INVENTARIO'!C239="","",'📇 INVENTARIO'!C239)</f>
        <v/>
      </c>
      <c r="E238" s="70" t="str">
        <f>IF('📇 INVENTARIO'!D239="","",'📇 INVENTARIO'!D239)</f>
        <v/>
      </c>
      <c r="F238" s="70" t="str">
        <f>IF('📇 INVENTARIO'!F239="","",'📇 INVENTARIO'!F239)</f>
        <v/>
      </c>
      <c r="G238" s="72" t="str">
        <f>IF('📇 INVENTARIO'!G239="","",'📇 INVENTARIO'!G239)</f>
        <v/>
      </c>
      <c r="H238" s="72" t="str">
        <f>IF('📇 INVENTARIO'!H239="","",'📇 INVENTARIO'!H239)</f>
        <v/>
      </c>
      <c r="I238" s="72" t="str">
        <f>IF('📇 INVENTARIO'!I239="","",'📇 INVENTARIO'!I239)</f>
        <v/>
      </c>
      <c r="J238" s="72" t="str">
        <f>IF('📇 INVENTARIO'!J239="","",'📇 INVENTARIO'!J239)</f>
        <v/>
      </c>
      <c r="K238" s="73" t="str">
        <f>IF($C238="","",(G238-'⚙️ SUPUESTOS'!$C$20)/('⚙️ SUPUESTOS'!$C$25-'⚙️ SUPUESTOS'!$C$20))</f>
        <v/>
      </c>
      <c r="L238" s="73" t="str">
        <f>IF($C238="","",VLOOKUP($E238,'📊 SECCIONES'!$B$4:$S$9,16,FALSE()))</f>
        <v/>
      </c>
      <c r="M238" s="73" t="str">
        <f>IF($C238="","",VLOOKUP($E238,'📊 SECCIONES'!$B$4:$S$9,17,FALSE()))</f>
        <v/>
      </c>
      <c r="N238" s="73" t="str">
        <f>IF($C238="","",VLOOKUP($E238,'📊 SECCIONES'!$B$4:$S$9,18,FALSE()))</f>
        <v/>
      </c>
      <c r="O238" s="74" t="str">
        <f>IF($C238="","",ROUND('⚙️ SUPUESTOS'!$C$21*K238+'⚙️ SUPUESTOS'!$C$22*L238+'⚙️ SUPUESTOS'!$C$23*M238+'⚙️ SUPUESTOS'!$C$24*N238,4))</f>
        <v/>
      </c>
      <c r="P238" s="75" t="str">
        <f>IF($C238="","",VLOOKUP($E238,'📊 SECCIONES'!$B$4:$S$9,7,FALSE()))</f>
        <v/>
      </c>
      <c r="Q238" s="76" t="str">
        <f>IF($C238="","",VLOOKUP($E238,'📊 SECCIONES'!$B$4:$S$9,8,FALSE()))</f>
        <v/>
      </c>
      <c r="R238" s="75" t="str">
        <f>IF($C238="","",VLOOKUP($E238,'📊 SECCIONES'!$B$4:$S$9,10,FALSE()))</f>
        <v/>
      </c>
      <c r="S238" s="70" t="str">
        <f>IF('📇 INVENTARIO'!K239="","",'📇 INVENTARIO'!K239)</f>
        <v/>
      </c>
      <c r="T238" s="77" t="str">
        <f t="shared" si="12"/>
        <v/>
      </c>
      <c r="U238" s="70" t="str">
        <f t="shared" si="13"/>
        <v/>
      </c>
      <c r="V238" s="78" t="str">
        <f>IF('📇 INVENTARIO'!L239="","",'📇 INVENTARIO'!L239)</f>
        <v/>
      </c>
      <c r="W238" s="75" t="str">
        <f>IF($C238="","",V238*'⚙️ SUPUESTOS'!$C$8*'⚙️ SUPUESTOS'!$C$9)</f>
        <v/>
      </c>
      <c r="X238" s="78" t="str">
        <f>IF('📇 INVENTARIO'!N239="","",'📇 INVENTARIO'!N239)</f>
        <v/>
      </c>
      <c r="Y238" s="78" t="str">
        <f>IF($C238="","",W238*X238*'⚙️ SUPUESTOS'!$C$7)</f>
        <v/>
      </c>
      <c r="Z238" s="76" t="str">
        <f>IF($C238="","",W238*'⚙️ SUPUESTOS'!$C$10)</f>
        <v/>
      </c>
      <c r="AA238" s="76" t="str">
        <f>IF($C238="","",Y238*('⚙️ SUPUESTOS'!$C$12*'⚙️ SUPUESTOS'!$C$11+(1-'⚙️ SUPUESTOS'!$C$12)*'⚙️ SUPUESTOS'!$C$13))</f>
        <v/>
      </c>
      <c r="AB238" s="76" t="str">
        <f>IF($C238="","",IF(Y238&gt;0,ROUND(Y238*'⚙️ SUPUESTOS'!$C$12*'⚙️ SUPUESTOS'!$C$11,0),""))</f>
        <v/>
      </c>
      <c r="AC238" s="76" t="str">
        <f>IF($C238="","",IF(Y238&gt;0,ROUND(Y238*(1-'⚙️ SUPUESTOS'!$C$12)*'⚙️ SUPUESTOS'!$C$13,0),""))</f>
        <v/>
      </c>
      <c r="AD238" s="76" t="str">
        <f t="shared" si="14"/>
        <v/>
      </c>
      <c r="AE238" s="75" t="str">
        <f t="shared" si="15"/>
        <v/>
      </c>
      <c r="AF238" s="70" t="str">
        <f>IF($C238="","",IF(AE238="","—",IF(AE238&lt;='⚙️ SUPUESTOS'!$C$32,"✔ Muy recomendable",IF(AE238&lt;='⚙️ SUPUESTOS'!$C$33,"✔ Recomendable","Valorar"))))</f>
        <v/>
      </c>
      <c r="AG238" s="79" t="str">
        <f>IF('📇 INVENTARIO'!O239="","",'📇 INVENTARIO'!O239)</f>
        <v/>
      </c>
      <c r="AH238" s="79" t="str">
        <f>IF('📇 INVENTARIO'!P239="","",'📇 INVENTARIO'!P239)</f>
        <v/>
      </c>
    </row>
    <row r="239" spans="1:34" ht="45" customHeight="1">
      <c r="A239" s="58" t="str">
        <f>IF($C239="","",RANK(O239,$O$3:$O$265,0)+COUNTIF($O$3:O239,O239)-1)</f>
        <v/>
      </c>
      <c r="B239" s="59" t="str">
        <f>IF($C239="","",IF(A239&lt;='⚙️ SUPUESTOS'!$C$29,"Fase 1",IF(A239&lt;='⚙️ SUPUESTOS'!$C$30,"Fase 2","Fase 3")))</f>
        <v/>
      </c>
      <c r="C239" s="60" t="str">
        <f>IF('📇 INVENTARIO'!B240="","",'📇 INVENTARIO'!B240)</f>
        <v/>
      </c>
      <c r="D239" s="59" t="str">
        <f>IF('📇 INVENTARIO'!C240="","",'📇 INVENTARIO'!C240)</f>
        <v/>
      </c>
      <c r="E239" s="59" t="str">
        <f>IF('📇 INVENTARIO'!D240="","",'📇 INVENTARIO'!D240)</f>
        <v/>
      </c>
      <c r="F239" s="59" t="str">
        <f>IF('📇 INVENTARIO'!F240="","",'📇 INVENTARIO'!F240)</f>
        <v/>
      </c>
      <c r="G239" s="61" t="str">
        <f>IF('📇 INVENTARIO'!G240="","",'📇 INVENTARIO'!G240)</f>
        <v/>
      </c>
      <c r="H239" s="61" t="str">
        <f>IF('📇 INVENTARIO'!H240="","",'📇 INVENTARIO'!H240)</f>
        <v/>
      </c>
      <c r="I239" s="61" t="str">
        <f>IF('📇 INVENTARIO'!I240="","",'📇 INVENTARIO'!I240)</f>
        <v/>
      </c>
      <c r="J239" s="61" t="str">
        <f>IF('📇 INVENTARIO'!J240="","",'📇 INVENTARIO'!J240)</f>
        <v/>
      </c>
      <c r="K239" s="62" t="str">
        <f>IF($C239="","",(G239-'⚙️ SUPUESTOS'!$C$20)/('⚙️ SUPUESTOS'!$C$25-'⚙️ SUPUESTOS'!$C$20))</f>
        <v/>
      </c>
      <c r="L239" s="62" t="str">
        <f>IF($C239="","",VLOOKUP($E239,'📊 SECCIONES'!$B$4:$S$9,16,FALSE()))</f>
        <v/>
      </c>
      <c r="M239" s="62" t="str">
        <f>IF($C239="","",VLOOKUP($E239,'📊 SECCIONES'!$B$4:$S$9,17,FALSE()))</f>
        <v/>
      </c>
      <c r="N239" s="62" t="str">
        <f>IF($C239="","",VLOOKUP($E239,'📊 SECCIONES'!$B$4:$S$9,18,FALSE()))</f>
        <v/>
      </c>
      <c r="O239" s="63" t="str">
        <f>IF($C239="","",ROUND('⚙️ SUPUESTOS'!$C$21*K239+'⚙️ SUPUESTOS'!$C$22*L239+'⚙️ SUPUESTOS'!$C$23*M239+'⚙️ SUPUESTOS'!$C$24*N239,4))</f>
        <v/>
      </c>
      <c r="P239" s="64" t="str">
        <f>IF($C239="","",VLOOKUP($E239,'📊 SECCIONES'!$B$4:$S$9,7,FALSE()))</f>
        <v/>
      </c>
      <c r="Q239" s="65" t="str">
        <f>IF($C239="","",VLOOKUP($E239,'📊 SECCIONES'!$B$4:$S$9,8,FALSE()))</f>
        <v/>
      </c>
      <c r="R239" s="64" t="str">
        <f>IF($C239="","",VLOOKUP($E239,'📊 SECCIONES'!$B$4:$S$9,10,FALSE()))</f>
        <v/>
      </c>
      <c r="S239" s="59" t="str">
        <f>IF('📇 INVENTARIO'!K240="","",'📇 INVENTARIO'!K240)</f>
        <v/>
      </c>
      <c r="T239" s="66" t="str">
        <f t="shared" si="12"/>
        <v/>
      </c>
      <c r="U239" s="59" t="str">
        <f t="shared" si="13"/>
        <v/>
      </c>
      <c r="V239" s="67" t="str">
        <f>IF('📇 INVENTARIO'!L240="","",'📇 INVENTARIO'!L240)</f>
        <v/>
      </c>
      <c r="W239" s="64" t="str">
        <f>IF($C239="","",V239*'⚙️ SUPUESTOS'!$C$8*'⚙️ SUPUESTOS'!$C$9)</f>
        <v/>
      </c>
      <c r="X239" s="67" t="str">
        <f>IF('📇 INVENTARIO'!N240="","",'📇 INVENTARIO'!N240)</f>
        <v/>
      </c>
      <c r="Y239" s="67" t="str">
        <f>IF($C239="","",W239*X239*'⚙️ SUPUESTOS'!$C$7)</f>
        <v/>
      </c>
      <c r="Z239" s="65" t="str">
        <f>IF($C239="","",W239*'⚙️ SUPUESTOS'!$C$10)</f>
        <v/>
      </c>
      <c r="AA239" s="65" t="str">
        <f>IF($C239="","",Y239*('⚙️ SUPUESTOS'!$C$12*'⚙️ SUPUESTOS'!$C$11+(1-'⚙️ SUPUESTOS'!$C$12)*'⚙️ SUPUESTOS'!$C$13))</f>
        <v/>
      </c>
      <c r="AB239" s="65" t="str">
        <f>IF($C239="","",IF(Y239&gt;0,ROUND(Y239*'⚙️ SUPUESTOS'!$C$12*'⚙️ SUPUESTOS'!$C$11,0),""))</f>
        <v/>
      </c>
      <c r="AC239" s="65" t="str">
        <f>IF($C239="","",IF(Y239&gt;0,ROUND(Y239*(1-'⚙️ SUPUESTOS'!$C$12)*'⚙️ SUPUESTOS'!$C$13,0),""))</f>
        <v/>
      </c>
      <c r="AD239" s="65" t="str">
        <f t="shared" si="14"/>
        <v/>
      </c>
      <c r="AE239" s="64" t="str">
        <f t="shared" si="15"/>
        <v/>
      </c>
      <c r="AF239" s="59" t="str">
        <f>IF($C239="","",IF(AE239="","—",IF(AE239&lt;='⚙️ SUPUESTOS'!$C$32,"✔ Muy recomendable",IF(AE239&lt;='⚙️ SUPUESTOS'!$C$33,"✔ Recomendable","Valorar"))))</f>
        <v/>
      </c>
      <c r="AG239" s="68" t="str">
        <f>IF('📇 INVENTARIO'!O240="","",'📇 INVENTARIO'!O240)</f>
        <v/>
      </c>
      <c r="AH239" s="68" t="str">
        <f>IF('📇 INVENTARIO'!P240="","",'📇 INVENTARIO'!P240)</f>
        <v/>
      </c>
    </row>
    <row r="240" spans="1:34" ht="45" customHeight="1">
      <c r="A240" s="69" t="str">
        <f>IF($C240="","",RANK(O240,$O$3:$O$265,0)+COUNTIF($O$3:O240,O240)-1)</f>
        <v/>
      </c>
      <c r="B240" s="70" t="str">
        <f>IF($C240="","",IF(A240&lt;='⚙️ SUPUESTOS'!$C$29,"Fase 1",IF(A240&lt;='⚙️ SUPUESTOS'!$C$30,"Fase 2","Fase 3")))</f>
        <v/>
      </c>
      <c r="C240" s="71" t="str">
        <f>IF('📇 INVENTARIO'!B241="","",'📇 INVENTARIO'!B241)</f>
        <v/>
      </c>
      <c r="D240" s="70" t="str">
        <f>IF('📇 INVENTARIO'!C241="","",'📇 INVENTARIO'!C241)</f>
        <v/>
      </c>
      <c r="E240" s="70" t="str">
        <f>IF('📇 INVENTARIO'!D241="","",'📇 INVENTARIO'!D241)</f>
        <v/>
      </c>
      <c r="F240" s="70" t="str">
        <f>IF('📇 INVENTARIO'!F241="","",'📇 INVENTARIO'!F241)</f>
        <v/>
      </c>
      <c r="G240" s="72" t="str">
        <f>IF('📇 INVENTARIO'!G241="","",'📇 INVENTARIO'!G241)</f>
        <v/>
      </c>
      <c r="H240" s="72" t="str">
        <f>IF('📇 INVENTARIO'!H241="","",'📇 INVENTARIO'!H241)</f>
        <v/>
      </c>
      <c r="I240" s="72" t="str">
        <f>IF('📇 INVENTARIO'!I241="","",'📇 INVENTARIO'!I241)</f>
        <v/>
      </c>
      <c r="J240" s="72" t="str">
        <f>IF('📇 INVENTARIO'!J241="","",'📇 INVENTARIO'!J241)</f>
        <v/>
      </c>
      <c r="K240" s="73" t="str">
        <f>IF($C240="","",(G240-'⚙️ SUPUESTOS'!$C$20)/('⚙️ SUPUESTOS'!$C$25-'⚙️ SUPUESTOS'!$C$20))</f>
        <v/>
      </c>
      <c r="L240" s="73" t="str">
        <f>IF($C240="","",VLOOKUP($E240,'📊 SECCIONES'!$B$4:$S$9,16,FALSE()))</f>
        <v/>
      </c>
      <c r="M240" s="73" t="str">
        <f>IF($C240="","",VLOOKUP($E240,'📊 SECCIONES'!$B$4:$S$9,17,FALSE()))</f>
        <v/>
      </c>
      <c r="N240" s="73" t="str">
        <f>IF($C240="","",VLOOKUP($E240,'📊 SECCIONES'!$B$4:$S$9,18,FALSE()))</f>
        <v/>
      </c>
      <c r="O240" s="74" t="str">
        <f>IF($C240="","",ROUND('⚙️ SUPUESTOS'!$C$21*K240+'⚙️ SUPUESTOS'!$C$22*L240+'⚙️ SUPUESTOS'!$C$23*M240+'⚙️ SUPUESTOS'!$C$24*N240,4))</f>
        <v/>
      </c>
      <c r="P240" s="75" t="str">
        <f>IF($C240="","",VLOOKUP($E240,'📊 SECCIONES'!$B$4:$S$9,7,FALSE()))</f>
        <v/>
      </c>
      <c r="Q240" s="76" t="str">
        <f>IF($C240="","",VLOOKUP($E240,'📊 SECCIONES'!$B$4:$S$9,8,FALSE()))</f>
        <v/>
      </c>
      <c r="R240" s="75" t="str">
        <f>IF($C240="","",VLOOKUP($E240,'📊 SECCIONES'!$B$4:$S$9,10,FALSE()))</f>
        <v/>
      </c>
      <c r="S240" s="70" t="str">
        <f>IF('📇 INVENTARIO'!K241="","",'📇 INVENTARIO'!K241)</f>
        <v/>
      </c>
      <c r="T240" s="77" t="str">
        <f t="shared" si="12"/>
        <v/>
      </c>
      <c r="U240" s="70" t="str">
        <f t="shared" si="13"/>
        <v/>
      </c>
      <c r="V240" s="78" t="str">
        <f>IF('📇 INVENTARIO'!L241="","",'📇 INVENTARIO'!L241)</f>
        <v/>
      </c>
      <c r="W240" s="75" t="str">
        <f>IF($C240="","",V240*'⚙️ SUPUESTOS'!$C$8*'⚙️ SUPUESTOS'!$C$9)</f>
        <v/>
      </c>
      <c r="X240" s="78" t="str">
        <f>IF('📇 INVENTARIO'!N241="","",'📇 INVENTARIO'!N241)</f>
        <v/>
      </c>
      <c r="Y240" s="78" t="str">
        <f>IF($C240="","",W240*X240*'⚙️ SUPUESTOS'!$C$7)</f>
        <v/>
      </c>
      <c r="Z240" s="76" t="str">
        <f>IF($C240="","",W240*'⚙️ SUPUESTOS'!$C$10)</f>
        <v/>
      </c>
      <c r="AA240" s="76" t="str">
        <f>IF($C240="","",Y240*('⚙️ SUPUESTOS'!$C$12*'⚙️ SUPUESTOS'!$C$11+(1-'⚙️ SUPUESTOS'!$C$12)*'⚙️ SUPUESTOS'!$C$13))</f>
        <v/>
      </c>
      <c r="AB240" s="76" t="str">
        <f>IF($C240="","",IF(Y240&gt;0,ROUND(Y240*'⚙️ SUPUESTOS'!$C$12*'⚙️ SUPUESTOS'!$C$11,0),""))</f>
        <v/>
      </c>
      <c r="AC240" s="76" t="str">
        <f>IF($C240="","",IF(Y240&gt;0,ROUND(Y240*(1-'⚙️ SUPUESTOS'!$C$12)*'⚙️ SUPUESTOS'!$C$13,0),""))</f>
        <v/>
      </c>
      <c r="AD240" s="76" t="str">
        <f t="shared" si="14"/>
        <v/>
      </c>
      <c r="AE240" s="75" t="str">
        <f t="shared" si="15"/>
        <v/>
      </c>
      <c r="AF240" s="70" t="str">
        <f>IF($C240="","",IF(AE240="","—",IF(AE240&lt;='⚙️ SUPUESTOS'!$C$32,"✔ Muy recomendable",IF(AE240&lt;='⚙️ SUPUESTOS'!$C$33,"✔ Recomendable","Valorar"))))</f>
        <v/>
      </c>
      <c r="AG240" s="79" t="str">
        <f>IF('📇 INVENTARIO'!O241="","",'📇 INVENTARIO'!O241)</f>
        <v/>
      </c>
      <c r="AH240" s="79" t="str">
        <f>IF('📇 INVENTARIO'!P241="","",'📇 INVENTARIO'!P241)</f>
        <v/>
      </c>
    </row>
    <row r="241" spans="1:34" ht="45" customHeight="1">
      <c r="A241" s="58" t="str">
        <f>IF($C241="","",RANK(O241,$O$3:$O$265,0)+COUNTIF($O$3:O241,O241)-1)</f>
        <v/>
      </c>
      <c r="B241" s="59" t="str">
        <f>IF($C241="","",IF(A241&lt;='⚙️ SUPUESTOS'!$C$29,"Fase 1",IF(A241&lt;='⚙️ SUPUESTOS'!$C$30,"Fase 2","Fase 3")))</f>
        <v/>
      </c>
      <c r="C241" s="60" t="str">
        <f>IF('📇 INVENTARIO'!B242="","",'📇 INVENTARIO'!B242)</f>
        <v/>
      </c>
      <c r="D241" s="59" t="str">
        <f>IF('📇 INVENTARIO'!C242="","",'📇 INVENTARIO'!C242)</f>
        <v/>
      </c>
      <c r="E241" s="59" t="str">
        <f>IF('📇 INVENTARIO'!D242="","",'📇 INVENTARIO'!D242)</f>
        <v/>
      </c>
      <c r="F241" s="59" t="str">
        <f>IF('📇 INVENTARIO'!F242="","",'📇 INVENTARIO'!F242)</f>
        <v/>
      </c>
      <c r="G241" s="61" t="str">
        <f>IF('📇 INVENTARIO'!G242="","",'📇 INVENTARIO'!G242)</f>
        <v/>
      </c>
      <c r="H241" s="61" t="str">
        <f>IF('📇 INVENTARIO'!H242="","",'📇 INVENTARIO'!H242)</f>
        <v/>
      </c>
      <c r="I241" s="61" t="str">
        <f>IF('📇 INVENTARIO'!I242="","",'📇 INVENTARIO'!I242)</f>
        <v/>
      </c>
      <c r="J241" s="61" t="str">
        <f>IF('📇 INVENTARIO'!J242="","",'📇 INVENTARIO'!J242)</f>
        <v/>
      </c>
      <c r="K241" s="62" t="str">
        <f>IF($C241="","",(G241-'⚙️ SUPUESTOS'!$C$20)/('⚙️ SUPUESTOS'!$C$25-'⚙️ SUPUESTOS'!$C$20))</f>
        <v/>
      </c>
      <c r="L241" s="62" t="str">
        <f>IF($C241="","",VLOOKUP($E241,'📊 SECCIONES'!$B$4:$S$9,16,FALSE()))</f>
        <v/>
      </c>
      <c r="M241" s="62" t="str">
        <f>IF($C241="","",VLOOKUP($E241,'📊 SECCIONES'!$B$4:$S$9,17,FALSE()))</f>
        <v/>
      </c>
      <c r="N241" s="62" t="str">
        <f>IF($C241="","",VLOOKUP($E241,'📊 SECCIONES'!$B$4:$S$9,18,FALSE()))</f>
        <v/>
      </c>
      <c r="O241" s="63" t="str">
        <f>IF($C241="","",ROUND('⚙️ SUPUESTOS'!$C$21*K241+'⚙️ SUPUESTOS'!$C$22*L241+'⚙️ SUPUESTOS'!$C$23*M241+'⚙️ SUPUESTOS'!$C$24*N241,4))</f>
        <v/>
      </c>
      <c r="P241" s="64" t="str">
        <f>IF($C241="","",VLOOKUP($E241,'📊 SECCIONES'!$B$4:$S$9,7,FALSE()))</f>
        <v/>
      </c>
      <c r="Q241" s="65" t="str">
        <f>IF($C241="","",VLOOKUP($E241,'📊 SECCIONES'!$B$4:$S$9,8,FALSE()))</f>
        <v/>
      </c>
      <c r="R241" s="64" t="str">
        <f>IF($C241="","",VLOOKUP($E241,'📊 SECCIONES'!$B$4:$S$9,10,FALSE()))</f>
        <v/>
      </c>
      <c r="S241" s="59" t="str">
        <f>IF('📇 INVENTARIO'!K242="","",'📇 INVENTARIO'!K242)</f>
        <v/>
      </c>
      <c r="T241" s="66" t="str">
        <f t="shared" si="12"/>
        <v/>
      </c>
      <c r="U241" s="59" t="str">
        <f t="shared" si="13"/>
        <v/>
      </c>
      <c r="V241" s="67" t="str">
        <f>IF('📇 INVENTARIO'!L242="","",'📇 INVENTARIO'!L242)</f>
        <v/>
      </c>
      <c r="W241" s="64" t="str">
        <f>IF($C241="","",V241*'⚙️ SUPUESTOS'!$C$8*'⚙️ SUPUESTOS'!$C$9)</f>
        <v/>
      </c>
      <c r="X241" s="67" t="str">
        <f>IF('📇 INVENTARIO'!N242="","",'📇 INVENTARIO'!N242)</f>
        <v/>
      </c>
      <c r="Y241" s="67" t="str">
        <f>IF($C241="","",W241*X241*'⚙️ SUPUESTOS'!$C$7)</f>
        <v/>
      </c>
      <c r="Z241" s="65" t="str">
        <f>IF($C241="","",W241*'⚙️ SUPUESTOS'!$C$10)</f>
        <v/>
      </c>
      <c r="AA241" s="65" t="str">
        <f>IF($C241="","",Y241*('⚙️ SUPUESTOS'!$C$12*'⚙️ SUPUESTOS'!$C$11+(1-'⚙️ SUPUESTOS'!$C$12)*'⚙️ SUPUESTOS'!$C$13))</f>
        <v/>
      </c>
      <c r="AB241" s="65" t="str">
        <f>IF($C241="","",IF(Y241&gt;0,ROUND(Y241*'⚙️ SUPUESTOS'!$C$12*'⚙️ SUPUESTOS'!$C$11,0),""))</f>
        <v/>
      </c>
      <c r="AC241" s="65" t="str">
        <f>IF($C241="","",IF(Y241&gt;0,ROUND(Y241*(1-'⚙️ SUPUESTOS'!$C$12)*'⚙️ SUPUESTOS'!$C$13,0),""))</f>
        <v/>
      </c>
      <c r="AD241" s="65" t="str">
        <f t="shared" si="14"/>
        <v/>
      </c>
      <c r="AE241" s="64" t="str">
        <f t="shared" si="15"/>
        <v/>
      </c>
      <c r="AF241" s="59" t="str">
        <f>IF($C241="","",IF(AE241="","—",IF(AE241&lt;='⚙️ SUPUESTOS'!$C$32,"✔ Muy recomendable",IF(AE241&lt;='⚙️ SUPUESTOS'!$C$33,"✔ Recomendable","Valorar"))))</f>
        <v/>
      </c>
      <c r="AG241" s="68" t="str">
        <f>IF('📇 INVENTARIO'!O242="","",'📇 INVENTARIO'!O242)</f>
        <v/>
      </c>
      <c r="AH241" s="68" t="str">
        <f>IF('📇 INVENTARIO'!P242="","",'📇 INVENTARIO'!P242)</f>
        <v/>
      </c>
    </row>
    <row r="242" spans="1:34" ht="45" customHeight="1">
      <c r="A242" s="69" t="str">
        <f>IF($C242="","",RANK(O242,$O$3:$O$265,0)+COUNTIF($O$3:O242,O242)-1)</f>
        <v/>
      </c>
      <c r="B242" s="70" t="str">
        <f>IF($C242="","",IF(A242&lt;='⚙️ SUPUESTOS'!$C$29,"Fase 1",IF(A242&lt;='⚙️ SUPUESTOS'!$C$30,"Fase 2","Fase 3")))</f>
        <v/>
      </c>
      <c r="C242" s="71" t="str">
        <f>IF('📇 INVENTARIO'!B243="","",'📇 INVENTARIO'!B243)</f>
        <v/>
      </c>
      <c r="D242" s="70" t="str">
        <f>IF('📇 INVENTARIO'!C243="","",'📇 INVENTARIO'!C243)</f>
        <v/>
      </c>
      <c r="E242" s="70" t="str">
        <f>IF('📇 INVENTARIO'!D243="","",'📇 INVENTARIO'!D243)</f>
        <v/>
      </c>
      <c r="F242" s="70" t="str">
        <f>IF('📇 INVENTARIO'!F243="","",'📇 INVENTARIO'!F243)</f>
        <v/>
      </c>
      <c r="G242" s="72" t="str">
        <f>IF('📇 INVENTARIO'!G243="","",'📇 INVENTARIO'!G243)</f>
        <v/>
      </c>
      <c r="H242" s="72" t="str">
        <f>IF('📇 INVENTARIO'!H243="","",'📇 INVENTARIO'!H243)</f>
        <v/>
      </c>
      <c r="I242" s="72" t="str">
        <f>IF('📇 INVENTARIO'!I243="","",'📇 INVENTARIO'!I243)</f>
        <v/>
      </c>
      <c r="J242" s="72" t="str">
        <f>IF('📇 INVENTARIO'!J243="","",'📇 INVENTARIO'!J243)</f>
        <v/>
      </c>
      <c r="K242" s="73" t="str">
        <f>IF($C242="","",(G242-'⚙️ SUPUESTOS'!$C$20)/('⚙️ SUPUESTOS'!$C$25-'⚙️ SUPUESTOS'!$C$20))</f>
        <v/>
      </c>
      <c r="L242" s="73" t="str">
        <f>IF($C242="","",VLOOKUP($E242,'📊 SECCIONES'!$B$4:$S$9,16,FALSE()))</f>
        <v/>
      </c>
      <c r="M242" s="73" t="str">
        <f>IF($C242="","",VLOOKUP($E242,'📊 SECCIONES'!$B$4:$S$9,17,FALSE()))</f>
        <v/>
      </c>
      <c r="N242" s="73" t="str">
        <f>IF($C242="","",VLOOKUP($E242,'📊 SECCIONES'!$B$4:$S$9,18,FALSE()))</f>
        <v/>
      </c>
      <c r="O242" s="74" t="str">
        <f>IF($C242="","",ROUND('⚙️ SUPUESTOS'!$C$21*K242+'⚙️ SUPUESTOS'!$C$22*L242+'⚙️ SUPUESTOS'!$C$23*M242+'⚙️ SUPUESTOS'!$C$24*N242,4))</f>
        <v/>
      </c>
      <c r="P242" s="75" t="str">
        <f>IF($C242="","",VLOOKUP($E242,'📊 SECCIONES'!$B$4:$S$9,7,FALSE()))</f>
        <v/>
      </c>
      <c r="Q242" s="76" t="str">
        <f>IF($C242="","",VLOOKUP($E242,'📊 SECCIONES'!$B$4:$S$9,8,FALSE()))</f>
        <v/>
      </c>
      <c r="R242" s="75" t="str">
        <f>IF($C242="","",VLOOKUP($E242,'📊 SECCIONES'!$B$4:$S$9,10,FALSE()))</f>
        <v/>
      </c>
      <c r="S242" s="70" t="str">
        <f>IF('📇 INVENTARIO'!K243="","",'📇 INVENTARIO'!K243)</f>
        <v/>
      </c>
      <c r="T242" s="77" t="str">
        <f t="shared" si="12"/>
        <v/>
      </c>
      <c r="U242" s="70" t="str">
        <f t="shared" si="13"/>
        <v/>
      </c>
      <c r="V242" s="78" t="str">
        <f>IF('📇 INVENTARIO'!L243="","",'📇 INVENTARIO'!L243)</f>
        <v/>
      </c>
      <c r="W242" s="75" t="str">
        <f>IF($C242="","",V242*'⚙️ SUPUESTOS'!$C$8*'⚙️ SUPUESTOS'!$C$9)</f>
        <v/>
      </c>
      <c r="X242" s="78" t="str">
        <f>IF('📇 INVENTARIO'!N243="","",'📇 INVENTARIO'!N243)</f>
        <v/>
      </c>
      <c r="Y242" s="78" t="str">
        <f>IF($C242="","",W242*X242*'⚙️ SUPUESTOS'!$C$7)</f>
        <v/>
      </c>
      <c r="Z242" s="76" t="str">
        <f>IF($C242="","",W242*'⚙️ SUPUESTOS'!$C$10)</f>
        <v/>
      </c>
      <c r="AA242" s="76" t="str">
        <f>IF($C242="","",Y242*('⚙️ SUPUESTOS'!$C$12*'⚙️ SUPUESTOS'!$C$11+(1-'⚙️ SUPUESTOS'!$C$12)*'⚙️ SUPUESTOS'!$C$13))</f>
        <v/>
      </c>
      <c r="AB242" s="76" t="str">
        <f>IF($C242="","",IF(Y242&gt;0,ROUND(Y242*'⚙️ SUPUESTOS'!$C$12*'⚙️ SUPUESTOS'!$C$11,0),""))</f>
        <v/>
      </c>
      <c r="AC242" s="76" t="str">
        <f>IF($C242="","",IF(Y242&gt;0,ROUND(Y242*(1-'⚙️ SUPUESTOS'!$C$12)*'⚙️ SUPUESTOS'!$C$13,0),""))</f>
        <v/>
      </c>
      <c r="AD242" s="76" t="str">
        <f t="shared" si="14"/>
        <v/>
      </c>
      <c r="AE242" s="75" t="str">
        <f t="shared" si="15"/>
        <v/>
      </c>
      <c r="AF242" s="70" t="str">
        <f>IF($C242="","",IF(AE242="","—",IF(AE242&lt;='⚙️ SUPUESTOS'!$C$32,"✔ Muy recomendable",IF(AE242&lt;='⚙️ SUPUESTOS'!$C$33,"✔ Recomendable","Valorar"))))</f>
        <v/>
      </c>
      <c r="AG242" s="79" t="str">
        <f>IF('📇 INVENTARIO'!O243="","",'📇 INVENTARIO'!O243)</f>
        <v/>
      </c>
      <c r="AH242" s="79" t="str">
        <f>IF('📇 INVENTARIO'!P243="","",'📇 INVENTARIO'!P243)</f>
        <v/>
      </c>
    </row>
    <row r="243" spans="1:34" ht="45" customHeight="1">
      <c r="A243" s="58" t="str">
        <f>IF($C243="","",RANK(O243,$O$3:$O$265,0)+COUNTIF($O$3:O243,O243)-1)</f>
        <v/>
      </c>
      <c r="B243" s="59" t="str">
        <f>IF($C243="","",IF(A243&lt;='⚙️ SUPUESTOS'!$C$29,"Fase 1",IF(A243&lt;='⚙️ SUPUESTOS'!$C$30,"Fase 2","Fase 3")))</f>
        <v/>
      </c>
      <c r="C243" s="60" t="str">
        <f>IF('📇 INVENTARIO'!B244="","",'📇 INVENTARIO'!B244)</f>
        <v/>
      </c>
      <c r="D243" s="59" t="str">
        <f>IF('📇 INVENTARIO'!C244="","",'📇 INVENTARIO'!C244)</f>
        <v/>
      </c>
      <c r="E243" s="59" t="str">
        <f>IF('📇 INVENTARIO'!D244="","",'📇 INVENTARIO'!D244)</f>
        <v/>
      </c>
      <c r="F243" s="59" t="str">
        <f>IF('📇 INVENTARIO'!F244="","",'📇 INVENTARIO'!F244)</f>
        <v/>
      </c>
      <c r="G243" s="61" t="str">
        <f>IF('📇 INVENTARIO'!G244="","",'📇 INVENTARIO'!G244)</f>
        <v/>
      </c>
      <c r="H243" s="61" t="str">
        <f>IF('📇 INVENTARIO'!H244="","",'📇 INVENTARIO'!H244)</f>
        <v/>
      </c>
      <c r="I243" s="61" t="str">
        <f>IF('📇 INVENTARIO'!I244="","",'📇 INVENTARIO'!I244)</f>
        <v/>
      </c>
      <c r="J243" s="61" t="str">
        <f>IF('📇 INVENTARIO'!J244="","",'📇 INVENTARIO'!J244)</f>
        <v/>
      </c>
      <c r="K243" s="62" t="str">
        <f>IF($C243="","",(G243-'⚙️ SUPUESTOS'!$C$20)/('⚙️ SUPUESTOS'!$C$25-'⚙️ SUPUESTOS'!$C$20))</f>
        <v/>
      </c>
      <c r="L243" s="62" t="str">
        <f>IF($C243="","",VLOOKUP($E243,'📊 SECCIONES'!$B$4:$S$9,16,FALSE()))</f>
        <v/>
      </c>
      <c r="M243" s="62" t="str">
        <f>IF($C243="","",VLOOKUP($E243,'📊 SECCIONES'!$B$4:$S$9,17,FALSE()))</f>
        <v/>
      </c>
      <c r="N243" s="62" t="str">
        <f>IF($C243="","",VLOOKUP($E243,'📊 SECCIONES'!$B$4:$S$9,18,FALSE()))</f>
        <v/>
      </c>
      <c r="O243" s="63" t="str">
        <f>IF($C243="","",ROUND('⚙️ SUPUESTOS'!$C$21*K243+'⚙️ SUPUESTOS'!$C$22*L243+'⚙️ SUPUESTOS'!$C$23*M243+'⚙️ SUPUESTOS'!$C$24*N243,4))</f>
        <v/>
      </c>
      <c r="P243" s="64" t="str">
        <f>IF($C243="","",VLOOKUP($E243,'📊 SECCIONES'!$B$4:$S$9,7,FALSE()))</f>
        <v/>
      </c>
      <c r="Q243" s="65" t="str">
        <f>IF($C243="","",VLOOKUP($E243,'📊 SECCIONES'!$B$4:$S$9,8,FALSE()))</f>
        <v/>
      </c>
      <c r="R243" s="64" t="str">
        <f>IF($C243="","",VLOOKUP($E243,'📊 SECCIONES'!$B$4:$S$9,10,FALSE()))</f>
        <v/>
      </c>
      <c r="S243" s="59" t="str">
        <f>IF('📇 INVENTARIO'!K244="","",'📇 INVENTARIO'!K244)</f>
        <v/>
      </c>
      <c r="T243" s="66" t="str">
        <f t="shared" si="12"/>
        <v/>
      </c>
      <c r="U243" s="59" t="str">
        <f t="shared" si="13"/>
        <v/>
      </c>
      <c r="V243" s="67" t="str">
        <f>IF('📇 INVENTARIO'!L244="","",'📇 INVENTARIO'!L244)</f>
        <v/>
      </c>
      <c r="W243" s="64" t="str">
        <f>IF($C243="","",V243*'⚙️ SUPUESTOS'!$C$8*'⚙️ SUPUESTOS'!$C$9)</f>
        <v/>
      </c>
      <c r="X243" s="67" t="str">
        <f>IF('📇 INVENTARIO'!N244="","",'📇 INVENTARIO'!N244)</f>
        <v/>
      </c>
      <c r="Y243" s="67" t="str">
        <f>IF($C243="","",W243*X243*'⚙️ SUPUESTOS'!$C$7)</f>
        <v/>
      </c>
      <c r="Z243" s="65" t="str">
        <f>IF($C243="","",W243*'⚙️ SUPUESTOS'!$C$10)</f>
        <v/>
      </c>
      <c r="AA243" s="65" t="str">
        <f>IF($C243="","",Y243*('⚙️ SUPUESTOS'!$C$12*'⚙️ SUPUESTOS'!$C$11+(1-'⚙️ SUPUESTOS'!$C$12)*'⚙️ SUPUESTOS'!$C$13))</f>
        <v/>
      </c>
      <c r="AB243" s="65" t="str">
        <f>IF($C243="","",IF(Y243&gt;0,ROUND(Y243*'⚙️ SUPUESTOS'!$C$12*'⚙️ SUPUESTOS'!$C$11,0),""))</f>
        <v/>
      </c>
      <c r="AC243" s="65" t="str">
        <f>IF($C243="","",IF(Y243&gt;0,ROUND(Y243*(1-'⚙️ SUPUESTOS'!$C$12)*'⚙️ SUPUESTOS'!$C$13,0),""))</f>
        <v/>
      </c>
      <c r="AD243" s="65" t="str">
        <f t="shared" si="14"/>
        <v/>
      </c>
      <c r="AE243" s="64" t="str">
        <f t="shared" si="15"/>
        <v/>
      </c>
      <c r="AF243" s="59" t="str">
        <f>IF($C243="","",IF(AE243="","—",IF(AE243&lt;='⚙️ SUPUESTOS'!$C$32,"✔ Muy recomendable",IF(AE243&lt;='⚙️ SUPUESTOS'!$C$33,"✔ Recomendable","Valorar"))))</f>
        <v/>
      </c>
      <c r="AG243" s="68" t="str">
        <f>IF('📇 INVENTARIO'!O244="","",'📇 INVENTARIO'!O244)</f>
        <v/>
      </c>
      <c r="AH243" s="68" t="str">
        <f>IF('📇 INVENTARIO'!P244="","",'📇 INVENTARIO'!P244)</f>
        <v/>
      </c>
    </row>
    <row r="244" spans="1:34" ht="45" customHeight="1">
      <c r="A244" s="69" t="str">
        <f>IF($C244="","",RANK(O244,$O$3:$O$265,0)+COUNTIF($O$3:O244,O244)-1)</f>
        <v/>
      </c>
      <c r="B244" s="70" t="str">
        <f>IF($C244="","",IF(A244&lt;='⚙️ SUPUESTOS'!$C$29,"Fase 1",IF(A244&lt;='⚙️ SUPUESTOS'!$C$30,"Fase 2","Fase 3")))</f>
        <v/>
      </c>
      <c r="C244" s="71" t="str">
        <f>IF('📇 INVENTARIO'!B245="","",'📇 INVENTARIO'!B245)</f>
        <v/>
      </c>
      <c r="D244" s="70" t="str">
        <f>IF('📇 INVENTARIO'!C245="","",'📇 INVENTARIO'!C245)</f>
        <v/>
      </c>
      <c r="E244" s="70" t="str">
        <f>IF('📇 INVENTARIO'!D245="","",'📇 INVENTARIO'!D245)</f>
        <v/>
      </c>
      <c r="F244" s="70" t="str">
        <f>IF('📇 INVENTARIO'!F245="","",'📇 INVENTARIO'!F245)</f>
        <v/>
      </c>
      <c r="G244" s="72" t="str">
        <f>IF('📇 INVENTARIO'!G245="","",'📇 INVENTARIO'!G245)</f>
        <v/>
      </c>
      <c r="H244" s="72" t="str">
        <f>IF('📇 INVENTARIO'!H245="","",'📇 INVENTARIO'!H245)</f>
        <v/>
      </c>
      <c r="I244" s="72" t="str">
        <f>IF('📇 INVENTARIO'!I245="","",'📇 INVENTARIO'!I245)</f>
        <v/>
      </c>
      <c r="J244" s="72" t="str">
        <f>IF('📇 INVENTARIO'!J245="","",'📇 INVENTARIO'!J245)</f>
        <v/>
      </c>
      <c r="K244" s="73" t="str">
        <f>IF($C244="","",(G244-'⚙️ SUPUESTOS'!$C$20)/('⚙️ SUPUESTOS'!$C$25-'⚙️ SUPUESTOS'!$C$20))</f>
        <v/>
      </c>
      <c r="L244" s="73" t="str">
        <f>IF($C244="","",VLOOKUP($E244,'📊 SECCIONES'!$B$4:$S$9,16,FALSE()))</f>
        <v/>
      </c>
      <c r="M244" s="73" t="str">
        <f>IF($C244="","",VLOOKUP($E244,'📊 SECCIONES'!$B$4:$S$9,17,FALSE()))</f>
        <v/>
      </c>
      <c r="N244" s="73" t="str">
        <f>IF($C244="","",VLOOKUP($E244,'📊 SECCIONES'!$B$4:$S$9,18,FALSE()))</f>
        <v/>
      </c>
      <c r="O244" s="74" t="str">
        <f>IF($C244="","",ROUND('⚙️ SUPUESTOS'!$C$21*K244+'⚙️ SUPUESTOS'!$C$22*L244+'⚙️ SUPUESTOS'!$C$23*M244+'⚙️ SUPUESTOS'!$C$24*N244,4))</f>
        <v/>
      </c>
      <c r="P244" s="75" t="str">
        <f>IF($C244="","",VLOOKUP($E244,'📊 SECCIONES'!$B$4:$S$9,7,FALSE()))</f>
        <v/>
      </c>
      <c r="Q244" s="76" t="str">
        <f>IF($C244="","",VLOOKUP($E244,'📊 SECCIONES'!$B$4:$S$9,8,FALSE()))</f>
        <v/>
      </c>
      <c r="R244" s="75" t="str">
        <f>IF($C244="","",VLOOKUP($E244,'📊 SECCIONES'!$B$4:$S$9,10,FALSE()))</f>
        <v/>
      </c>
      <c r="S244" s="70" t="str">
        <f>IF('📇 INVENTARIO'!K245="","",'📇 INVENTARIO'!K245)</f>
        <v/>
      </c>
      <c r="T244" s="77" t="str">
        <f t="shared" si="12"/>
        <v/>
      </c>
      <c r="U244" s="70" t="str">
        <f t="shared" si="13"/>
        <v/>
      </c>
      <c r="V244" s="78" t="str">
        <f>IF('📇 INVENTARIO'!L245="","",'📇 INVENTARIO'!L245)</f>
        <v/>
      </c>
      <c r="W244" s="75" t="str">
        <f>IF($C244="","",V244*'⚙️ SUPUESTOS'!$C$8*'⚙️ SUPUESTOS'!$C$9)</f>
        <v/>
      </c>
      <c r="X244" s="78" t="str">
        <f>IF('📇 INVENTARIO'!N245="","",'📇 INVENTARIO'!N245)</f>
        <v/>
      </c>
      <c r="Y244" s="78" t="str">
        <f>IF($C244="","",W244*X244*'⚙️ SUPUESTOS'!$C$7)</f>
        <v/>
      </c>
      <c r="Z244" s="76" t="str">
        <f>IF($C244="","",W244*'⚙️ SUPUESTOS'!$C$10)</f>
        <v/>
      </c>
      <c r="AA244" s="76" t="str">
        <f>IF($C244="","",Y244*('⚙️ SUPUESTOS'!$C$12*'⚙️ SUPUESTOS'!$C$11+(1-'⚙️ SUPUESTOS'!$C$12)*'⚙️ SUPUESTOS'!$C$13))</f>
        <v/>
      </c>
      <c r="AB244" s="76" t="str">
        <f>IF($C244="","",IF(Y244&gt;0,ROUND(Y244*'⚙️ SUPUESTOS'!$C$12*'⚙️ SUPUESTOS'!$C$11,0),""))</f>
        <v/>
      </c>
      <c r="AC244" s="76" t="str">
        <f>IF($C244="","",IF(Y244&gt;0,ROUND(Y244*(1-'⚙️ SUPUESTOS'!$C$12)*'⚙️ SUPUESTOS'!$C$13,0),""))</f>
        <v/>
      </c>
      <c r="AD244" s="76" t="str">
        <f t="shared" si="14"/>
        <v/>
      </c>
      <c r="AE244" s="75" t="str">
        <f t="shared" si="15"/>
        <v/>
      </c>
      <c r="AF244" s="70" t="str">
        <f>IF($C244="","",IF(AE244="","—",IF(AE244&lt;='⚙️ SUPUESTOS'!$C$32,"✔ Muy recomendable",IF(AE244&lt;='⚙️ SUPUESTOS'!$C$33,"✔ Recomendable","Valorar"))))</f>
        <v/>
      </c>
      <c r="AG244" s="79" t="str">
        <f>IF('📇 INVENTARIO'!O245="","",'📇 INVENTARIO'!O245)</f>
        <v/>
      </c>
      <c r="AH244" s="79" t="str">
        <f>IF('📇 INVENTARIO'!P245="","",'📇 INVENTARIO'!P245)</f>
        <v/>
      </c>
    </row>
    <row r="245" spans="1:34" ht="45" customHeight="1">
      <c r="A245" s="58" t="str">
        <f>IF($C245="","",RANK(O245,$O$3:$O$265,0)+COUNTIF($O$3:O245,O245)-1)</f>
        <v/>
      </c>
      <c r="B245" s="59" t="str">
        <f>IF($C245="","",IF(A245&lt;='⚙️ SUPUESTOS'!$C$29,"Fase 1",IF(A245&lt;='⚙️ SUPUESTOS'!$C$30,"Fase 2","Fase 3")))</f>
        <v/>
      </c>
      <c r="C245" s="60" t="str">
        <f>IF('📇 INVENTARIO'!B246="","",'📇 INVENTARIO'!B246)</f>
        <v/>
      </c>
      <c r="D245" s="59" t="str">
        <f>IF('📇 INVENTARIO'!C246="","",'📇 INVENTARIO'!C246)</f>
        <v/>
      </c>
      <c r="E245" s="59" t="str">
        <f>IF('📇 INVENTARIO'!D246="","",'📇 INVENTARIO'!D246)</f>
        <v/>
      </c>
      <c r="F245" s="59" t="str">
        <f>IF('📇 INVENTARIO'!F246="","",'📇 INVENTARIO'!F246)</f>
        <v/>
      </c>
      <c r="G245" s="61" t="str">
        <f>IF('📇 INVENTARIO'!G246="","",'📇 INVENTARIO'!G246)</f>
        <v/>
      </c>
      <c r="H245" s="61" t="str">
        <f>IF('📇 INVENTARIO'!H246="","",'📇 INVENTARIO'!H246)</f>
        <v/>
      </c>
      <c r="I245" s="61" t="str">
        <f>IF('📇 INVENTARIO'!I246="","",'📇 INVENTARIO'!I246)</f>
        <v/>
      </c>
      <c r="J245" s="61" t="str">
        <f>IF('📇 INVENTARIO'!J246="","",'📇 INVENTARIO'!J246)</f>
        <v/>
      </c>
      <c r="K245" s="62" t="str">
        <f>IF($C245="","",(G245-'⚙️ SUPUESTOS'!$C$20)/('⚙️ SUPUESTOS'!$C$25-'⚙️ SUPUESTOS'!$C$20))</f>
        <v/>
      </c>
      <c r="L245" s="62" t="str">
        <f>IF($C245="","",VLOOKUP($E245,'📊 SECCIONES'!$B$4:$S$9,16,FALSE()))</f>
        <v/>
      </c>
      <c r="M245" s="62" t="str">
        <f>IF($C245="","",VLOOKUP($E245,'📊 SECCIONES'!$B$4:$S$9,17,FALSE()))</f>
        <v/>
      </c>
      <c r="N245" s="62" t="str">
        <f>IF($C245="","",VLOOKUP($E245,'📊 SECCIONES'!$B$4:$S$9,18,FALSE()))</f>
        <v/>
      </c>
      <c r="O245" s="63" t="str">
        <f>IF($C245="","",ROUND('⚙️ SUPUESTOS'!$C$21*K245+'⚙️ SUPUESTOS'!$C$22*L245+'⚙️ SUPUESTOS'!$C$23*M245+'⚙️ SUPUESTOS'!$C$24*N245,4))</f>
        <v/>
      </c>
      <c r="P245" s="64" t="str">
        <f>IF($C245="","",VLOOKUP($E245,'📊 SECCIONES'!$B$4:$S$9,7,FALSE()))</f>
        <v/>
      </c>
      <c r="Q245" s="65" t="str">
        <f>IF($C245="","",VLOOKUP($E245,'📊 SECCIONES'!$B$4:$S$9,8,FALSE()))</f>
        <v/>
      </c>
      <c r="R245" s="64" t="str">
        <f>IF($C245="","",VLOOKUP($E245,'📊 SECCIONES'!$B$4:$S$9,10,FALSE()))</f>
        <v/>
      </c>
      <c r="S245" s="59" t="str">
        <f>IF('📇 INVENTARIO'!K246="","",'📇 INVENTARIO'!K246)</f>
        <v/>
      </c>
      <c r="T245" s="66" t="str">
        <f t="shared" si="12"/>
        <v/>
      </c>
      <c r="U245" s="59" t="str">
        <f t="shared" si="13"/>
        <v/>
      </c>
      <c r="V245" s="67" t="str">
        <f>IF('📇 INVENTARIO'!L246="","",'📇 INVENTARIO'!L246)</f>
        <v/>
      </c>
      <c r="W245" s="64" t="str">
        <f>IF($C245="","",V245*'⚙️ SUPUESTOS'!$C$8*'⚙️ SUPUESTOS'!$C$9)</f>
        <v/>
      </c>
      <c r="X245" s="67" t="str">
        <f>IF('📇 INVENTARIO'!N246="","",'📇 INVENTARIO'!N246)</f>
        <v/>
      </c>
      <c r="Y245" s="67" t="str">
        <f>IF($C245="","",W245*X245*'⚙️ SUPUESTOS'!$C$7)</f>
        <v/>
      </c>
      <c r="Z245" s="65" t="str">
        <f>IF($C245="","",W245*'⚙️ SUPUESTOS'!$C$10)</f>
        <v/>
      </c>
      <c r="AA245" s="65" t="str">
        <f>IF($C245="","",Y245*('⚙️ SUPUESTOS'!$C$12*'⚙️ SUPUESTOS'!$C$11+(1-'⚙️ SUPUESTOS'!$C$12)*'⚙️ SUPUESTOS'!$C$13))</f>
        <v/>
      </c>
      <c r="AB245" s="65" t="str">
        <f>IF($C245="","",IF(Y245&gt;0,ROUND(Y245*'⚙️ SUPUESTOS'!$C$12*'⚙️ SUPUESTOS'!$C$11,0),""))</f>
        <v/>
      </c>
      <c r="AC245" s="65" t="str">
        <f>IF($C245="","",IF(Y245&gt;0,ROUND(Y245*(1-'⚙️ SUPUESTOS'!$C$12)*'⚙️ SUPUESTOS'!$C$13,0),""))</f>
        <v/>
      </c>
      <c r="AD245" s="65" t="str">
        <f t="shared" si="14"/>
        <v/>
      </c>
      <c r="AE245" s="64" t="str">
        <f t="shared" si="15"/>
        <v/>
      </c>
      <c r="AF245" s="59" t="str">
        <f>IF($C245="","",IF(AE245="","—",IF(AE245&lt;='⚙️ SUPUESTOS'!$C$32,"✔ Muy recomendable",IF(AE245&lt;='⚙️ SUPUESTOS'!$C$33,"✔ Recomendable","Valorar"))))</f>
        <v/>
      </c>
      <c r="AG245" s="68" t="str">
        <f>IF('📇 INVENTARIO'!O246="","",'📇 INVENTARIO'!O246)</f>
        <v/>
      </c>
      <c r="AH245" s="68" t="str">
        <f>IF('📇 INVENTARIO'!P246="","",'📇 INVENTARIO'!P246)</f>
        <v/>
      </c>
    </row>
    <row r="246" spans="1:34" ht="45" customHeight="1">
      <c r="A246" s="69" t="str">
        <f>IF($C246="","",RANK(O246,$O$3:$O$265,0)+COUNTIF($O$3:O246,O246)-1)</f>
        <v/>
      </c>
      <c r="B246" s="70" t="str">
        <f>IF($C246="","",IF(A246&lt;='⚙️ SUPUESTOS'!$C$29,"Fase 1",IF(A246&lt;='⚙️ SUPUESTOS'!$C$30,"Fase 2","Fase 3")))</f>
        <v/>
      </c>
      <c r="C246" s="71" t="str">
        <f>IF('📇 INVENTARIO'!B247="","",'📇 INVENTARIO'!B247)</f>
        <v/>
      </c>
      <c r="D246" s="70" t="str">
        <f>IF('📇 INVENTARIO'!C247="","",'📇 INVENTARIO'!C247)</f>
        <v/>
      </c>
      <c r="E246" s="70" t="str">
        <f>IF('📇 INVENTARIO'!D247="","",'📇 INVENTARIO'!D247)</f>
        <v/>
      </c>
      <c r="F246" s="70" t="str">
        <f>IF('📇 INVENTARIO'!F247="","",'📇 INVENTARIO'!F247)</f>
        <v/>
      </c>
      <c r="G246" s="72" t="str">
        <f>IF('📇 INVENTARIO'!G247="","",'📇 INVENTARIO'!G247)</f>
        <v/>
      </c>
      <c r="H246" s="72" t="str">
        <f>IF('📇 INVENTARIO'!H247="","",'📇 INVENTARIO'!H247)</f>
        <v/>
      </c>
      <c r="I246" s="72" t="str">
        <f>IF('📇 INVENTARIO'!I247="","",'📇 INVENTARIO'!I247)</f>
        <v/>
      </c>
      <c r="J246" s="72" t="str">
        <f>IF('📇 INVENTARIO'!J247="","",'📇 INVENTARIO'!J247)</f>
        <v/>
      </c>
      <c r="K246" s="73" t="str">
        <f>IF($C246="","",(G246-'⚙️ SUPUESTOS'!$C$20)/('⚙️ SUPUESTOS'!$C$25-'⚙️ SUPUESTOS'!$C$20))</f>
        <v/>
      </c>
      <c r="L246" s="73" t="str">
        <f>IF($C246="","",VLOOKUP($E246,'📊 SECCIONES'!$B$4:$S$9,16,FALSE()))</f>
        <v/>
      </c>
      <c r="M246" s="73" t="str">
        <f>IF($C246="","",VLOOKUP($E246,'📊 SECCIONES'!$B$4:$S$9,17,FALSE()))</f>
        <v/>
      </c>
      <c r="N246" s="73" t="str">
        <f>IF($C246="","",VLOOKUP($E246,'📊 SECCIONES'!$B$4:$S$9,18,FALSE()))</f>
        <v/>
      </c>
      <c r="O246" s="74" t="str">
        <f>IF($C246="","",ROUND('⚙️ SUPUESTOS'!$C$21*K246+'⚙️ SUPUESTOS'!$C$22*L246+'⚙️ SUPUESTOS'!$C$23*M246+'⚙️ SUPUESTOS'!$C$24*N246,4))</f>
        <v/>
      </c>
      <c r="P246" s="75" t="str">
        <f>IF($C246="","",VLOOKUP($E246,'📊 SECCIONES'!$B$4:$S$9,7,FALSE()))</f>
        <v/>
      </c>
      <c r="Q246" s="76" t="str">
        <f>IF($C246="","",VLOOKUP($E246,'📊 SECCIONES'!$B$4:$S$9,8,FALSE()))</f>
        <v/>
      </c>
      <c r="R246" s="75" t="str">
        <f>IF($C246="","",VLOOKUP($E246,'📊 SECCIONES'!$B$4:$S$9,10,FALSE()))</f>
        <v/>
      </c>
      <c r="S246" s="70" t="str">
        <f>IF('📇 INVENTARIO'!K247="","",'📇 INVENTARIO'!K247)</f>
        <v/>
      </c>
      <c r="T246" s="77" t="str">
        <f t="shared" si="12"/>
        <v/>
      </c>
      <c r="U246" s="70" t="str">
        <f t="shared" si="13"/>
        <v/>
      </c>
      <c r="V246" s="78" t="str">
        <f>IF('📇 INVENTARIO'!L247="","",'📇 INVENTARIO'!L247)</f>
        <v/>
      </c>
      <c r="W246" s="75" t="str">
        <f>IF($C246="","",V246*'⚙️ SUPUESTOS'!$C$8*'⚙️ SUPUESTOS'!$C$9)</f>
        <v/>
      </c>
      <c r="X246" s="78" t="str">
        <f>IF('📇 INVENTARIO'!N247="","",'📇 INVENTARIO'!N247)</f>
        <v/>
      </c>
      <c r="Y246" s="78" t="str">
        <f>IF($C246="","",W246*X246*'⚙️ SUPUESTOS'!$C$7)</f>
        <v/>
      </c>
      <c r="Z246" s="76" t="str">
        <f>IF($C246="","",W246*'⚙️ SUPUESTOS'!$C$10)</f>
        <v/>
      </c>
      <c r="AA246" s="76" t="str">
        <f>IF($C246="","",Y246*('⚙️ SUPUESTOS'!$C$12*'⚙️ SUPUESTOS'!$C$11+(1-'⚙️ SUPUESTOS'!$C$12)*'⚙️ SUPUESTOS'!$C$13))</f>
        <v/>
      </c>
      <c r="AB246" s="76" t="str">
        <f>IF($C246="","",IF(Y246&gt;0,ROUND(Y246*'⚙️ SUPUESTOS'!$C$12*'⚙️ SUPUESTOS'!$C$11,0),""))</f>
        <v/>
      </c>
      <c r="AC246" s="76" t="str">
        <f>IF($C246="","",IF(Y246&gt;0,ROUND(Y246*(1-'⚙️ SUPUESTOS'!$C$12)*'⚙️ SUPUESTOS'!$C$13,0),""))</f>
        <v/>
      </c>
      <c r="AD246" s="76" t="str">
        <f t="shared" si="14"/>
        <v/>
      </c>
      <c r="AE246" s="75" t="str">
        <f t="shared" si="15"/>
        <v/>
      </c>
      <c r="AF246" s="70" t="str">
        <f>IF($C246="","",IF(AE246="","—",IF(AE246&lt;='⚙️ SUPUESTOS'!$C$32,"✔ Muy recomendable",IF(AE246&lt;='⚙️ SUPUESTOS'!$C$33,"✔ Recomendable","Valorar"))))</f>
        <v/>
      </c>
      <c r="AG246" s="79" t="str">
        <f>IF('📇 INVENTARIO'!O247="","",'📇 INVENTARIO'!O247)</f>
        <v/>
      </c>
      <c r="AH246" s="79" t="str">
        <f>IF('📇 INVENTARIO'!P247="","",'📇 INVENTARIO'!P247)</f>
        <v/>
      </c>
    </row>
    <row r="247" spans="1:34" ht="45" customHeight="1">
      <c r="A247" s="58" t="str">
        <f>IF($C247="","",RANK(O247,$O$3:$O$265,0)+COUNTIF($O$3:O247,O247)-1)</f>
        <v/>
      </c>
      <c r="B247" s="59" t="str">
        <f>IF($C247="","",IF(A247&lt;='⚙️ SUPUESTOS'!$C$29,"Fase 1",IF(A247&lt;='⚙️ SUPUESTOS'!$C$30,"Fase 2","Fase 3")))</f>
        <v/>
      </c>
      <c r="C247" s="60" t="str">
        <f>IF('📇 INVENTARIO'!B248="","",'📇 INVENTARIO'!B248)</f>
        <v/>
      </c>
      <c r="D247" s="59" t="str">
        <f>IF('📇 INVENTARIO'!C248="","",'📇 INVENTARIO'!C248)</f>
        <v/>
      </c>
      <c r="E247" s="59" t="str">
        <f>IF('📇 INVENTARIO'!D248="","",'📇 INVENTARIO'!D248)</f>
        <v/>
      </c>
      <c r="F247" s="59" t="str">
        <f>IF('📇 INVENTARIO'!F248="","",'📇 INVENTARIO'!F248)</f>
        <v/>
      </c>
      <c r="G247" s="61" t="str">
        <f>IF('📇 INVENTARIO'!G248="","",'📇 INVENTARIO'!G248)</f>
        <v/>
      </c>
      <c r="H247" s="61" t="str">
        <f>IF('📇 INVENTARIO'!H248="","",'📇 INVENTARIO'!H248)</f>
        <v/>
      </c>
      <c r="I247" s="61" t="str">
        <f>IF('📇 INVENTARIO'!I248="","",'📇 INVENTARIO'!I248)</f>
        <v/>
      </c>
      <c r="J247" s="61" t="str">
        <f>IF('📇 INVENTARIO'!J248="","",'📇 INVENTARIO'!J248)</f>
        <v/>
      </c>
      <c r="K247" s="62" t="str">
        <f>IF($C247="","",(G247-'⚙️ SUPUESTOS'!$C$20)/('⚙️ SUPUESTOS'!$C$25-'⚙️ SUPUESTOS'!$C$20))</f>
        <v/>
      </c>
      <c r="L247" s="62" t="str">
        <f>IF($C247="","",VLOOKUP($E247,'📊 SECCIONES'!$B$4:$S$9,16,FALSE()))</f>
        <v/>
      </c>
      <c r="M247" s="62" t="str">
        <f>IF($C247="","",VLOOKUP($E247,'📊 SECCIONES'!$B$4:$S$9,17,FALSE()))</f>
        <v/>
      </c>
      <c r="N247" s="62" t="str">
        <f>IF($C247="","",VLOOKUP($E247,'📊 SECCIONES'!$B$4:$S$9,18,FALSE()))</f>
        <v/>
      </c>
      <c r="O247" s="63" t="str">
        <f>IF($C247="","",ROUND('⚙️ SUPUESTOS'!$C$21*K247+'⚙️ SUPUESTOS'!$C$22*L247+'⚙️ SUPUESTOS'!$C$23*M247+'⚙️ SUPUESTOS'!$C$24*N247,4))</f>
        <v/>
      </c>
      <c r="P247" s="64" t="str">
        <f>IF($C247="","",VLOOKUP($E247,'📊 SECCIONES'!$B$4:$S$9,7,FALSE()))</f>
        <v/>
      </c>
      <c r="Q247" s="65" t="str">
        <f>IF($C247="","",VLOOKUP($E247,'📊 SECCIONES'!$B$4:$S$9,8,FALSE()))</f>
        <v/>
      </c>
      <c r="R247" s="64" t="str">
        <f>IF($C247="","",VLOOKUP($E247,'📊 SECCIONES'!$B$4:$S$9,10,FALSE()))</f>
        <v/>
      </c>
      <c r="S247" s="59" t="str">
        <f>IF('📇 INVENTARIO'!K248="","",'📇 INVENTARIO'!K248)</f>
        <v/>
      </c>
      <c r="T247" s="66" t="str">
        <f t="shared" si="12"/>
        <v/>
      </c>
      <c r="U247" s="59" t="str">
        <f t="shared" si="13"/>
        <v/>
      </c>
      <c r="V247" s="67" t="str">
        <f>IF('📇 INVENTARIO'!L248="","",'📇 INVENTARIO'!L248)</f>
        <v/>
      </c>
      <c r="W247" s="64" t="str">
        <f>IF($C247="","",V247*'⚙️ SUPUESTOS'!$C$8*'⚙️ SUPUESTOS'!$C$9)</f>
        <v/>
      </c>
      <c r="X247" s="67" t="str">
        <f>IF('📇 INVENTARIO'!N248="","",'📇 INVENTARIO'!N248)</f>
        <v/>
      </c>
      <c r="Y247" s="67" t="str">
        <f>IF($C247="","",W247*X247*'⚙️ SUPUESTOS'!$C$7)</f>
        <v/>
      </c>
      <c r="Z247" s="65" t="str">
        <f>IF($C247="","",W247*'⚙️ SUPUESTOS'!$C$10)</f>
        <v/>
      </c>
      <c r="AA247" s="65" t="str">
        <f>IF($C247="","",Y247*('⚙️ SUPUESTOS'!$C$12*'⚙️ SUPUESTOS'!$C$11+(1-'⚙️ SUPUESTOS'!$C$12)*'⚙️ SUPUESTOS'!$C$13))</f>
        <v/>
      </c>
      <c r="AB247" s="65" t="str">
        <f>IF($C247="","",IF(Y247&gt;0,ROUND(Y247*'⚙️ SUPUESTOS'!$C$12*'⚙️ SUPUESTOS'!$C$11,0),""))</f>
        <v/>
      </c>
      <c r="AC247" s="65" t="str">
        <f>IF($C247="","",IF(Y247&gt;0,ROUND(Y247*(1-'⚙️ SUPUESTOS'!$C$12)*'⚙️ SUPUESTOS'!$C$13,0),""))</f>
        <v/>
      </c>
      <c r="AD247" s="65" t="str">
        <f t="shared" si="14"/>
        <v/>
      </c>
      <c r="AE247" s="64" t="str">
        <f t="shared" si="15"/>
        <v/>
      </c>
      <c r="AF247" s="59" t="str">
        <f>IF($C247="","",IF(AE247="","—",IF(AE247&lt;='⚙️ SUPUESTOS'!$C$32,"✔ Muy recomendable",IF(AE247&lt;='⚙️ SUPUESTOS'!$C$33,"✔ Recomendable","Valorar"))))</f>
        <v/>
      </c>
      <c r="AG247" s="68" t="str">
        <f>IF('📇 INVENTARIO'!O248="","",'📇 INVENTARIO'!O248)</f>
        <v/>
      </c>
      <c r="AH247" s="68" t="str">
        <f>IF('📇 INVENTARIO'!P248="","",'📇 INVENTARIO'!P248)</f>
        <v/>
      </c>
    </row>
    <row r="248" spans="1:34" ht="45" customHeight="1">
      <c r="A248" s="69" t="str">
        <f>IF($C248="","",RANK(O248,$O$3:$O$265,0)+COUNTIF($O$3:O248,O248)-1)</f>
        <v/>
      </c>
      <c r="B248" s="70" t="str">
        <f>IF($C248="","",IF(A248&lt;='⚙️ SUPUESTOS'!$C$29,"Fase 1",IF(A248&lt;='⚙️ SUPUESTOS'!$C$30,"Fase 2","Fase 3")))</f>
        <v/>
      </c>
      <c r="C248" s="71" t="str">
        <f>IF('📇 INVENTARIO'!B249="","",'📇 INVENTARIO'!B249)</f>
        <v/>
      </c>
      <c r="D248" s="70" t="str">
        <f>IF('📇 INVENTARIO'!C249="","",'📇 INVENTARIO'!C249)</f>
        <v/>
      </c>
      <c r="E248" s="70" t="str">
        <f>IF('📇 INVENTARIO'!D249="","",'📇 INVENTARIO'!D249)</f>
        <v/>
      </c>
      <c r="F248" s="70" t="str">
        <f>IF('📇 INVENTARIO'!F249="","",'📇 INVENTARIO'!F249)</f>
        <v/>
      </c>
      <c r="G248" s="72" t="str">
        <f>IF('📇 INVENTARIO'!G249="","",'📇 INVENTARIO'!G249)</f>
        <v/>
      </c>
      <c r="H248" s="72" t="str">
        <f>IF('📇 INVENTARIO'!H249="","",'📇 INVENTARIO'!H249)</f>
        <v/>
      </c>
      <c r="I248" s="72" t="str">
        <f>IF('📇 INVENTARIO'!I249="","",'📇 INVENTARIO'!I249)</f>
        <v/>
      </c>
      <c r="J248" s="72" t="str">
        <f>IF('📇 INVENTARIO'!J249="","",'📇 INVENTARIO'!J249)</f>
        <v/>
      </c>
      <c r="K248" s="73" t="str">
        <f>IF($C248="","",(G248-'⚙️ SUPUESTOS'!$C$20)/('⚙️ SUPUESTOS'!$C$25-'⚙️ SUPUESTOS'!$C$20))</f>
        <v/>
      </c>
      <c r="L248" s="73" t="str">
        <f>IF($C248="","",VLOOKUP($E248,'📊 SECCIONES'!$B$4:$S$9,16,FALSE()))</f>
        <v/>
      </c>
      <c r="M248" s="73" t="str">
        <f>IF($C248="","",VLOOKUP($E248,'📊 SECCIONES'!$B$4:$S$9,17,FALSE()))</f>
        <v/>
      </c>
      <c r="N248" s="73" t="str">
        <f>IF($C248="","",VLOOKUP($E248,'📊 SECCIONES'!$B$4:$S$9,18,FALSE()))</f>
        <v/>
      </c>
      <c r="O248" s="74" t="str">
        <f>IF($C248="","",ROUND('⚙️ SUPUESTOS'!$C$21*K248+'⚙️ SUPUESTOS'!$C$22*L248+'⚙️ SUPUESTOS'!$C$23*M248+'⚙️ SUPUESTOS'!$C$24*N248,4))</f>
        <v/>
      </c>
      <c r="P248" s="75" t="str">
        <f>IF($C248="","",VLOOKUP($E248,'📊 SECCIONES'!$B$4:$S$9,7,FALSE()))</f>
        <v/>
      </c>
      <c r="Q248" s="76" t="str">
        <f>IF($C248="","",VLOOKUP($E248,'📊 SECCIONES'!$B$4:$S$9,8,FALSE()))</f>
        <v/>
      </c>
      <c r="R248" s="75" t="str">
        <f>IF($C248="","",VLOOKUP($E248,'📊 SECCIONES'!$B$4:$S$9,10,FALSE()))</f>
        <v/>
      </c>
      <c r="S248" s="70" t="str">
        <f>IF('📇 INVENTARIO'!K249="","",'📇 INVENTARIO'!K249)</f>
        <v/>
      </c>
      <c r="T248" s="77" t="str">
        <f t="shared" si="12"/>
        <v/>
      </c>
      <c r="U248" s="70" t="str">
        <f t="shared" si="13"/>
        <v/>
      </c>
      <c r="V248" s="78" t="str">
        <f>IF('📇 INVENTARIO'!L249="","",'📇 INVENTARIO'!L249)</f>
        <v/>
      </c>
      <c r="W248" s="75" t="str">
        <f>IF($C248="","",V248*'⚙️ SUPUESTOS'!$C$8*'⚙️ SUPUESTOS'!$C$9)</f>
        <v/>
      </c>
      <c r="X248" s="78" t="str">
        <f>IF('📇 INVENTARIO'!N249="","",'📇 INVENTARIO'!N249)</f>
        <v/>
      </c>
      <c r="Y248" s="78" t="str">
        <f>IF($C248="","",W248*X248*'⚙️ SUPUESTOS'!$C$7)</f>
        <v/>
      </c>
      <c r="Z248" s="76" t="str">
        <f>IF($C248="","",W248*'⚙️ SUPUESTOS'!$C$10)</f>
        <v/>
      </c>
      <c r="AA248" s="76" t="str">
        <f>IF($C248="","",Y248*('⚙️ SUPUESTOS'!$C$12*'⚙️ SUPUESTOS'!$C$11+(1-'⚙️ SUPUESTOS'!$C$12)*'⚙️ SUPUESTOS'!$C$13))</f>
        <v/>
      </c>
      <c r="AB248" s="76" t="str">
        <f>IF($C248="","",IF(Y248&gt;0,ROUND(Y248*'⚙️ SUPUESTOS'!$C$12*'⚙️ SUPUESTOS'!$C$11,0),""))</f>
        <v/>
      </c>
      <c r="AC248" s="76" t="str">
        <f>IF($C248="","",IF(Y248&gt;0,ROUND(Y248*(1-'⚙️ SUPUESTOS'!$C$12)*'⚙️ SUPUESTOS'!$C$13,0),""))</f>
        <v/>
      </c>
      <c r="AD248" s="76" t="str">
        <f t="shared" si="14"/>
        <v/>
      </c>
      <c r="AE248" s="75" t="str">
        <f t="shared" si="15"/>
        <v/>
      </c>
      <c r="AF248" s="70" t="str">
        <f>IF($C248="","",IF(AE248="","—",IF(AE248&lt;='⚙️ SUPUESTOS'!$C$32,"✔ Muy recomendable",IF(AE248&lt;='⚙️ SUPUESTOS'!$C$33,"✔ Recomendable","Valorar"))))</f>
        <v/>
      </c>
      <c r="AG248" s="79" t="str">
        <f>IF('📇 INVENTARIO'!O249="","",'📇 INVENTARIO'!O249)</f>
        <v/>
      </c>
      <c r="AH248" s="79" t="str">
        <f>IF('📇 INVENTARIO'!P249="","",'📇 INVENTARIO'!P249)</f>
        <v/>
      </c>
    </row>
    <row r="249" spans="1:34" ht="45" customHeight="1">
      <c r="A249" s="58" t="str">
        <f>IF($C249="","",RANK(O249,$O$3:$O$265,0)+COUNTIF($O$3:O249,O249)-1)</f>
        <v/>
      </c>
      <c r="B249" s="59" t="str">
        <f>IF($C249="","",IF(A249&lt;='⚙️ SUPUESTOS'!$C$29,"Fase 1",IF(A249&lt;='⚙️ SUPUESTOS'!$C$30,"Fase 2","Fase 3")))</f>
        <v/>
      </c>
      <c r="C249" s="60" t="str">
        <f>IF('📇 INVENTARIO'!B250="","",'📇 INVENTARIO'!B250)</f>
        <v/>
      </c>
      <c r="D249" s="59" t="str">
        <f>IF('📇 INVENTARIO'!C250="","",'📇 INVENTARIO'!C250)</f>
        <v/>
      </c>
      <c r="E249" s="59" t="str">
        <f>IF('📇 INVENTARIO'!D250="","",'📇 INVENTARIO'!D250)</f>
        <v/>
      </c>
      <c r="F249" s="59" t="str">
        <f>IF('📇 INVENTARIO'!F250="","",'📇 INVENTARIO'!F250)</f>
        <v/>
      </c>
      <c r="G249" s="61" t="str">
        <f>IF('📇 INVENTARIO'!G250="","",'📇 INVENTARIO'!G250)</f>
        <v/>
      </c>
      <c r="H249" s="61" t="str">
        <f>IF('📇 INVENTARIO'!H250="","",'📇 INVENTARIO'!H250)</f>
        <v/>
      </c>
      <c r="I249" s="61" t="str">
        <f>IF('📇 INVENTARIO'!I250="","",'📇 INVENTARIO'!I250)</f>
        <v/>
      </c>
      <c r="J249" s="61" t="str">
        <f>IF('📇 INVENTARIO'!J250="","",'📇 INVENTARIO'!J250)</f>
        <v/>
      </c>
      <c r="K249" s="62" t="str">
        <f>IF($C249="","",(G249-'⚙️ SUPUESTOS'!$C$20)/('⚙️ SUPUESTOS'!$C$25-'⚙️ SUPUESTOS'!$C$20))</f>
        <v/>
      </c>
      <c r="L249" s="62" t="str">
        <f>IF($C249="","",VLOOKUP($E249,'📊 SECCIONES'!$B$4:$S$9,16,FALSE()))</f>
        <v/>
      </c>
      <c r="M249" s="62" t="str">
        <f>IF($C249="","",VLOOKUP($E249,'📊 SECCIONES'!$B$4:$S$9,17,FALSE()))</f>
        <v/>
      </c>
      <c r="N249" s="62" t="str">
        <f>IF($C249="","",VLOOKUP($E249,'📊 SECCIONES'!$B$4:$S$9,18,FALSE()))</f>
        <v/>
      </c>
      <c r="O249" s="63" t="str">
        <f>IF($C249="","",ROUND('⚙️ SUPUESTOS'!$C$21*K249+'⚙️ SUPUESTOS'!$C$22*L249+'⚙️ SUPUESTOS'!$C$23*M249+'⚙️ SUPUESTOS'!$C$24*N249,4))</f>
        <v/>
      </c>
      <c r="P249" s="64" t="str">
        <f>IF($C249="","",VLOOKUP($E249,'📊 SECCIONES'!$B$4:$S$9,7,FALSE()))</f>
        <v/>
      </c>
      <c r="Q249" s="65" t="str">
        <f>IF($C249="","",VLOOKUP($E249,'📊 SECCIONES'!$B$4:$S$9,8,FALSE()))</f>
        <v/>
      </c>
      <c r="R249" s="64" t="str">
        <f>IF($C249="","",VLOOKUP($E249,'📊 SECCIONES'!$B$4:$S$9,10,FALSE()))</f>
        <v/>
      </c>
      <c r="S249" s="59" t="str">
        <f>IF('📇 INVENTARIO'!K250="","",'📇 INVENTARIO'!K250)</f>
        <v/>
      </c>
      <c r="T249" s="66" t="str">
        <f t="shared" si="12"/>
        <v/>
      </c>
      <c r="U249" s="59" t="str">
        <f t="shared" si="13"/>
        <v/>
      </c>
      <c r="V249" s="67" t="str">
        <f>IF('📇 INVENTARIO'!L250="","",'📇 INVENTARIO'!L250)</f>
        <v/>
      </c>
      <c r="W249" s="64" t="str">
        <f>IF($C249="","",V249*'⚙️ SUPUESTOS'!$C$8*'⚙️ SUPUESTOS'!$C$9)</f>
        <v/>
      </c>
      <c r="X249" s="67" t="str">
        <f>IF('📇 INVENTARIO'!N250="","",'📇 INVENTARIO'!N250)</f>
        <v/>
      </c>
      <c r="Y249" s="67" t="str">
        <f>IF($C249="","",W249*X249*'⚙️ SUPUESTOS'!$C$7)</f>
        <v/>
      </c>
      <c r="Z249" s="65" t="str">
        <f>IF($C249="","",W249*'⚙️ SUPUESTOS'!$C$10)</f>
        <v/>
      </c>
      <c r="AA249" s="65" t="str">
        <f>IF($C249="","",Y249*('⚙️ SUPUESTOS'!$C$12*'⚙️ SUPUESTOS'!$C$11+(1-'⚙️ SUPUESTOS'!$C$12)*'⚙️ SUPUESTOS'!$C$13))</f>
        <v/>
      </c>
      <c r="AB249" s="65" t="str">
        <f>IF($C249="","",IF(Y249&gt;0,ROUND(Y249*'⚙️ SUPUESTOS'!$C$12*'⚙️ SUPUESTOS'!$C$11,0),""))</f>
        <v/>
      </c>
      <c r="AC249" s="65" t="str">
        <f>IF($C249="","",IF(Y249&gt;0,ROUND(Y249*(1-'⚙️ SUPUESTOS'!$C$12)*'⚙️ SUPUESTOS'!$C$13,0),""))</f>
        <v/>
      </c>
      <c r="AD249" s="65" t="str">
        <f t="shared" si="14"/>
        <v/>
      </c>
      <c r="AE249" s="64" t="str">
        <f t="shared" si="15"/>
        <v/>
      </c>
      <c r="AF249" s="59" t="str">
        <f>IF($C249="","",IF(AE249="","—",IF(AE249&lt;='⚙️ SUPUESTOS'!$C$32,"✔ Muy recomendable",IF(AE249&lt;='⚙️ SUPUESTOS'!$C$33,"✔ Recomendable","Valorar"))))</f>
        <v/>
      </c>
      <c r="AG249" s="68" t="str">
        <f>IF('📇 INVENTARIO'!O250="","",'📇 INVENTARIO'!O250)</f>
        <v/>
      </c>
      <c r="AH249" s="68" t="str">
        <f>IF('📇 INVENTARIO'!P250="","",'📇 INVENTARIO'!P250)</f>
        <v/>
      </c>
    </row>
    <row r="250" spans="1:34" ht="45" customHeight="1">
      <c r="A250" s="69" t="str">
        <f>IF($C250="","",RANK(O250,$O$3:$O$265,0)+COUNTIF($O$3:O250,O250)-1)</f>
        <v/>
      </c>
      <c r="B250" s="70" t="str">
        <f>IF($C250="","",IF(A250&lt;='⚙️ SUPUESTOS'!$C$29,"Fase 1",IF(A250&lt;='⚙️ SUPUESTOS'!$C$30,"Fase 2","Fase 3")))</f>
        <v/>
      </c>
      <c r="C250" s="71" t="str">
        <f>IF('📇 INVENTARIO'!B251="","",'📇 INVENTARIO'!B251)</f>
        <v/>
      </c>
      <c r="D250" s="70" t="str">
        <f>IF('📇 INVENTARIO'!C251="","",'📇 INVENTARIO'!C251)</f>
        <v/>
      </c>
      <c r="E250" s="70" t="str">
        <f>IF('📇 INVENTARIO'!D251="","",'📇 INVENTARIO'!D251)</f>
        <v/>
      </c>
      <c r="F250" s="70" t="str">
        <f>IF('📇 INVENTARIO'!F251="","",'📇 INVENTARIO'!F251)</f>
        <v/>
      </c>
      <c r="G250" s="72" t="str">
        <f>IF('📇 INVENTARIO'!G251="","",'📇 INVENTARIO'!G251)</f>
        <v/>
      </c>
      <c r="H250" s="72" t="str">
        <f>IF('📇 INVENTARIO'!H251="","",'📇 INVENTARIO'!H251)</f>
        <v/>
      </c>
      <c r="I250" s="72" t="str">
        <f>IF('📇 INVENTARIO'!I251="","",'📇 INVENTARIO'!I251)</f>
        <v/>
      </c>
      <c r="J250" s="72" t="str">
        <f>IF('📇 INVENTARIO'!J251="","",'📇 INVENTARIO'!J251)</f>
        <v/>
      </c>
      <c r="K250" s="73" t="str">
        <f>IF($C250="","",(G250-'⚙️ SUPUESTOS'!$C$20)/('⚙️ SUPUESTOS'!$C$25-'⚙️ SUPUESTOS'!$C$20))</f>
        <v/>
      </c>
      <c r="L250" s="73" t="str">
        <f>IF($C250="","",VLOOKUP($E250,'📊 SECCIONES'!$B$4:$S$9,16,FALSE()))</f>
        <v/>
      </c>
      <c r="M250" s="73" t="str">
        <f>IF($C250="","",VLOOKUP($E250,'📊 SECCIONES'!$B$4:$S$9,17,FALSE()))</f>
        <v/>
      </c>
      <c r="N250" s="73" t="str">
        <f>IF($C250="","",VLOOKUP($E250,'📊 SECCIONES'!$B$4:$S$9,18,FALSE()))</f>
        <v/>
      </c>
      <c r="O250" s="74" t="str">
        <f>IF($C250="","",ROUND('⚙️ SUPUESTOS'!$C$21*K250+'⚙️ SUPUESTOS'!$C$22*L250+'⚙️ SUPUESTOS'!$C$23*M250+'⚙️ SUPUESTOS'!$C$24*N250,4))</f>
        <v/>
      </c>
      <c r="P250" s="75" t="str">
        <f>IF($C250="","",VLOOKUP($E250,'📊 SECCIONES'!$B$4:$S$9,7,FALSE()))</f>
        <v/>
      </c>
      <c r="Q250" s="76" t="str">
        <f>IF($C250="","",VLOOKUP($E250,'📊 SECCIONES'!$B$4:$S$9,8,FALSE()))</f>
        <v/>
      </c>
      <c r="R250" s="75" t="str">
        <f>IF($C250="","",VLOOKUP($E250,'📊 SECCIONES'!$B$4:$S$9,10,FALSE()))</f>
        <v/>
      </c>
      <c r="S250" s="70" t="str">
        <f>IF('📇 INVENTARIO'!K251="","",'📇 INVENTARIO'!K251)</f>
        <v/>
      </c>
      <c r="T250" s="77" t="str">
        <f t="shared" si="12"/>
        <v/>
      </c>
      <c r="U250" s="70" t="str">
        <f t="shared" si="13"/>
        <v/>
      </c>
      <c r="V250" s="78" t="str">
        <f>IF('📇 INVENTARIO'!L251="","",'📇 INVENTARIO'!L251)</f>
        <v/>
      </c>
      <c r="W250" s="75" t="str">
        <f>IF($C250="","",V250*'⚙️ SUPUESTOS'!$C$8*'⚙️ SUPUESTOS'!$C$9)</f>
        <v/>
      </c>
      <c r="X250" s="78" t="str">
        <f>IF('📇 INVENTARIO'!N251="","",'📇 INVENTARIO'!N251)</f>
        <v/>
      </c>
      <c r="Y250" s="78" t="str">
        <f>IF($C250="","",W250*X250*'⚙️ SUPUESTOS'!$C$7)</f>
        <v/>
      </c>
      <c r="Z250" s="76" t="str">
        <f>IF($C250="","",W250*'⚙️ SUPUESTOS'!$C$10)</f>
        <v/>
      </c>
      <c r="AA250" s="76" t="str">
        <f>IF($C250="","",Y250*('⚙️ SUPUESTOS'!$C$12*'⚙️ SUPUESTOS'!$C$11+(1-'⚙️ SUPUESTOS'!$C$12)*'⚙️ SUPUESTOS'!$C$13))</f>
        <v/>
      </c>
      <c r="AB250" s="76" t="str">
        <f>IF($C250="","",IF(Y250&gt;0,ROUND(Y250*'⚙️ SUPUESTOS'!$C$12*'⚙️ SUPUESTOS'!$C$11,0),""))</f>
        <v/>
      </c>
      <c r="AC250" s="76" t="str">
        <f>IF($C250="","",IF(Y250&gt;0,ROUND(Y250*(1-'⚙️ SUPUESTOS'!$C$12)*'⚙️ SUPUESTOS'!$C$13,0),""))</f>
        <v/>
      </c>
      <c r="AD250" s="76" t="str">
        <f t="shared" si="14"/>
        <v/>
      </c>
      <c r="AE250" s="75" t="str">
        <f t="shared" si="15"/>
        <v/>
      </c>
      <c r="AF250" s="70" t="str">
        <f>IF($C250="","",IF(AE250="","—",IF(AE250&lt;='⚙️ SUPUESTOS'!$C$32,"✔ Muy recomendable",IF(AE250&lt;='⚙️ SUPUESTOS'!$C$33,"✔ Recomendable","Valorar"))))</f>
        <v/>
      </c>
      <c r="AG250" s="79" t="str">
        <f>IF('📇 INVENTARIO'!O251="","",'📇 INVENTARIO'!O251)</f>
        <v/>
      </c>
      <c r="AH250" s="79" t="str">
        <f>IF('📇 INVENTARIO'!P251="","",'📇 INVENTARIO'!P251)</f>
        <v/>
      </c>
    </row>
    <row r="251" spans="1:34" ht="45" customHeight="1">
      <c r="A251" s="58" t="str">
        <f>IF($C251="","",RANK(O251,$O$3:$O$265,0)+COUNTIF($O$3:O251,O251)-1)</f>
        <v/>
      </c>
      <c r="B251" s="59" t="str">
        <f>IF($C251="","",IF(A251&lt;='⚙️ SUPUESTOS'!$C$29,"Fase 1",IF(A251&lt;='⚙️ SUPUESTOS'!$C$30,"Fase 2","Fase 3")))</f>
        <v/>
      </c>
      <c r="C251" s="60" t="str">
        <f>IF('📇 INVENTARIO'!B252="","",'📇 INVENTARIO'!B252)</f>
        <v/>
      </c>
      <c r="D251" s="59" t="str">
        <f>IF('📇 INVENTARIO'!C252="","",'📇 INVENTARIO'!C252)</f>
        <v/>
      </c>
      <c r="E251" s="59" t="str">
        <f>IF('📇 INVENTARIO'!D252="","",'📇 INVENTARIO'!D252)</f>
        <v/>
      </c>
      <c r="F251" s="59" t="str">
        <f>IF('📇 INVENTARIO'!F252="","",'📇 INVENTARIO'!F252)</f>
        <v/>
      </c>
      <c r="G251" s="61" t="str">
        <f>IF('📇 INVENTARIO'!G252="","",'📇 INVENTARIO'!G252)</f>
        <v/>
      </c>
      <c r="H251" s="61" t="str">
        <f>IF('📇 INVENTARIO'!H252="","",'📇 INVENTARIO'!H252)</f>
        <v/>
      </c>
      <c r="I251" s="61" t="str">
        <f>IF('📇 INVENTARIO'!I252="","",'📇 INVENTARIO'!I252)</f>
        <v/>
      </c>
      <c r="J251" s="61" t="str">
        <f>IF('📇 INVENTARIO'!J252="","",'📇 INVENTARIO'!J252)</f>
        <v/>
      </c>
      <c r="K251" s="62" t="str">
        <f>IF($C251="","",(G251-'⚙️ SUPUESTOS'!$C$20)/('⚙️ SUPUESTOS'!$C$25-'⚙️ SUPUESTOS'!$C$20))</f>
        <v/>
      </c>
      <c r="L251" s="62" t="str">
        <f>IF($C251="","",VLOOKUP($E251,'📊 SECCIONES'!$B$4:$S$9,16,FALSE()))</f>
        <v/>
      </c>
      <c r="M251" s="62" t="str">
        <f>IF($C251="","",VLOOKUP($E251,'📊 SECCIONES'!$B$4:$S$9,17,FALSE()))</f>
        <v/>
      </c>
      <c r="N251" s="62" t="str">
        <f>IF($C251="","",VLOOKUP($E251,'📊 SECCIONES'!$B$4:$S$9,18,FALSE()))</f>
        <v/>
      </c>
      <c r="O251" s="63" t="str">
        <f>IF($C251="","",ROUND('⚙️ SUPUESTOS'!$C$21*K251+'⚙️ SUPUESTOS'!$C$22*L251+'⚙️ SUPUESTOS'!$C$23*M251+'⚙️ SUPUESTOS'!$C$24*N251,4))</f>
        <v/>
      </c>
      <c r="P251" s="64" t="str">
        <f>IF($C251="","",VLOOKUP($E251,'📊 SECCIONES'!$B$4:$S$9,7,FALSE()))</f>
        <v/>
      </c>
      <c r="Q251" s="65" t="str">
        <f>IF($C251="","",VLOOKUP($E251,'📊 SECCIONES'!$B$4:$S$9,8,FALSE()))</f>
        <v/>
      </c>
      <c r="R251" s="64" t="str">
        <f>IF($C251="","",VLOOKUP($E251,'📊 SECCIONES'!$B$4:$S$9,10,FALSE()))</f>
        <v/>
      </c>
      <c r="S251" s="59" t="str">
        <f>IF('📇 INVENTARIO'!K252="","",'📇 INVENTARIO'!K252)</f>
        <v/>
      </c>
      <c r="T251" s="66" t="str">
        <f t="shared" si="12"/>
        <v/>
      </c>
      <c r="U251" s="59" t="str">
        <f t="shared" si="13"/>
        <v/>
      </c>
      <c r="V251" s="67" t="str">
        <f>IF('📇 INVENTARIO'!L252="","",'📇 INVENTARIO'!L252)</f>
        <v/>
      </c>
      <c r="W251" s="64" t="str">
        <f>IF($C251="","",V251*'⚙️ SUPUESTOS'!$C$8*'⚙️ SUPUESTOS'!$C$9)</f>
        <v/>
      </c>
      <c r="X251" s="67" t="str">
        <f>IF('📇 INVENTARIO'!N252="","",'📇 INVENTARIO'!N252)</f>
        <v/>
      </c>
      <c r="Y251" s="67" t="str">
        <f>IF($C251="","",W251*X251*'⚙️ SUPUESTOS'!$C$7)</f>
        <v/>
      </c>
      <c r="Z251" s="65" t="str">
        <f>IF($C251="","",W251*'⚙️ SUPUESTOS'!$C$10)</f>
        <v/>
      </c>
      <c r="AA251" s="65" t="str">
        <f>IF($C251="","",Y251*('⚙️ SUPUESTOS'!$C$12*'⚙️ SUPUESTOS'!$C$11+(1-'⚙️ SUPUESTOS'!$C$12)*'⚙️ SUPUESTOS'!$C$13))</f>
        <v/>
      </c>
      <c r="AB251" s="65" t="str">
        <f>IF($C251="","",IF(Y251&gt;0,ROUND(Y251*'⚙️ SUPUESTOS'!$C$12*'⚙️ SUPUESTOS'!$C$11,0),""))</f>
        <v/>
      </c>
      <c r="AC251" s="65" t="str">
        <f>IF($C251="","",IF(Y251&gt;0,ROUND(Y251*(1-'⚙️ SUPUESTOS'!$C$12)*'⚙️ SUPUESTOS'!$C$13,0),""))</f>
        <v/>
      </c>
      <c r="AD251" s="65" t="str">
        <f t="shared" si="14"/>
        <v/>
      </c>
      <c r="AE251" s="64" t="str">
        <f t="shared" si="15"/>
        <v/>
      </c>
      <c r="AF251" s="59" t="str">
        <f>IF($C251="","",IF(AE251="","—",IF(AE251&lt;='⚙️ SUPUESTOS'!$C$32,"✔ Muy recomendable",IF(AE251&lt;='⚙️ SUPUESTOS'!$C$33,"✔ Recomendable","Valorar"))))</f>
        <v/>
      </c>
      <c r="AG251" s="68" t="str">
        <f>IF('📇 INVENTARIO'!O252="","",'📇 INVENTARIO'!O252)</f>
        <v/>
      </c>
      <c r="AH251" s="68" t="str">
        <f>IF('📇 INVENTARIO'!P252="","",'📇 INVENTARIO'!P252)</f>
        <v/>
      </c>
    </row>
    <row r="252" spans="1:34" ht="45" customHeight="1">
      <c r="A252" s="69" t="str">
        <f>IF($C252="","",RANK(O252,$O$3:$O$265,0)+COUNTIF($O$3:O252,O252)-1)</f>
        <v/>
      </c>
      <c r="B252" s="70" t="str">
        <f>IF($C252="","",IF(A252&lt;='⚙️ SUPUESTOS'!$C$29,"Fase 1",IF(A252&lt;='⚙️ SUPUESTOS'!$C$30,"Fase 2","Fase 3")))</f>
        <v/>
      </c>
      <c r="C252" s="71" t="str">
        <f>IF('📇 INVENTARIO'!B253="","",'📇 INVENTARIO'!B253)</f>
        <v/>
      </c>
      <c r="D252" s="70" t="str">
        <f>IF('📇 INVENTARIO'!C253="","",'📇 INVENTARIO'!C253)</f>
        <v/>
      </c>
      <c r="E252" s="70" t="str">
        <f>IF('📇 INVENTARIO'!D253="","",'📇 INVENTARIO'!D253)</f>
        <v/>
      </c>
      <c r="F252" s="70" t="str">
        <f>IF('📇 INVENTARIO'!F253="","",'📇 INVENTARIO'!F253)</f>
        <v/>
      </c>
      <c r="G252" s="72" t="str">
        <f>IF('📇 INVENTARIO'!G253="","",'📇 INVENTARIO'!G253)</f>
        <v/>
      </c>
      <c r="H252" s="72" t="str">
        <f>IF('📇 INVENTARIO'!H253="","",'📇 INVENTARIO'!H253)</f>
        <v/>
      </c>
      <c r="I252" s="72" t="str">
        <f>IF('📇 INVENTARIO'!I253="","",'📇 INVENTARIO'!I253)</f>
        <v/>
      </c>
      <c r="J252" s="72" t="str">
        <f>IF('📇 INVENTARIO'!J253="","",'📇 INVENTARIO'!J253)</f>
        <v/>
      </c>
      <c r="K252" s="73" t="str">
        <f>IF($C252="","",(G252-'⚙️ SUPUESTOS'!$C$20)/('⚙️ SUPUESTOS'!$C$25-'⚙️ SUPUESTOS'!$C$20))</f>
        <v/>
      </c>
      <c r="L252" s="73" t="str">
        <f>IF($C252="","",VLOOKUP($E252,'📊 SECCIONES'!$B$4:$S$9,16,FALSE()))</f>
        <v/>
      </c>
      <c r="M252" s="73" t="str">
        <f>IF($C252="","",VLOOKUP($E252,'📊 SECCIONES'!$B$4:$S$9,17,FALSE()))</f>
        <v/>
      </c>
      <c r="N252" s="73" t="str">
        <f>IF($C252="","",VLOOKUP($E252,'📊 SECCIONES'!$B$4:$S$9,18,FALSE()))</f>
        <v/>
      </c>
      <c r="O252" s="74" t="str">
        <f>IF($C252="","",ROUND('⚙️ SUPUESTOS'!$C$21*K252+'⚙️ SUPUESTOS'!$C$22*L252+'⚙️ SUPUESTOS'!$C$23*M252+'⚙️ SUPUESTOS'!$C$24*N252,4))</f>
        <v/>
      </c>
      <c r="P252" s="75" t="str">
        <f>IF($C252="","",VLOOKUP($E252,'📊 SECCIONES'!$B$4:$S$9,7,FALSE()))</f>
        <v/>
      </c>
      <c r="Q252" s="76" t="str">
        <f>IF($C252="","",VLOOKUP($E252,'📊 SECCIONES'!$B$4:$S$9,8,FALSE()))</f>
        <v/>
      </c>
      <c r="R252" s="75" t="str">
        <f>IF($C252="","",VLOOKUP($E252,'📊 SECCIONES'!$B$4:$S$9,10,FALSE()))</f>
        <v/>
      </c>
      <c r="S252" s="70" t="str">
        <f>IF('📇 INVENTARIO'!K253="","",'📇 INVENTARIO'!K253)</f>
        <v/>
      </c>
      <c r="T252" s="77" t="str">
        <f t="shared" si="12"/>
        <v/>
      </c>
      <c r="U252" s="70" t="str">
        <f t="shared" si="13"/>
        <v/>
      </c>
      <c r="V252" s="78" t="str">
        <f>IF('📇 INVENTARIO'!L253="","",'📇 INVENTARIO'!L253)</f>
        <v/>
      </c>
      <c r="W252" s="75" t="str">
        <f>IF($C252="","",V252*'⚙️ SUPUESTOS'!$C$8*'⚙️ SUPUESTOS'!$C$9)</f>
        <v/>
      </c>
      <c r="X252" s="78" t="str">
        <f>IF('📇 INVENTARIO'!N253="","",'📇 INVENTARIO'!N253)</f>
        <v/>
      </c>
      <c r="Y252" s="78" t="str">
        <f>IF($C252="","",W252*X252*'⚙️ SUPUESTOS'!$C$7)</f>
        <v/>
      </c>
      <c r="Z252" s="76" t="str">
        <f>IF($C252="","",W252*'⚙️ SUPUESTOS'!$C$10)</f>
        <v/>
      </c>
      <c r="AA252" s="76" t="str">
        <f>IF($C252="","",Y252*('⚙️ SUPUESTOS'!$C$12*'⚙️ SUPUESTOS'!$C$11+(1-'⚙️ SUPUESTOS'!$C$12)*'⚙️ SUPUESTOS'!$C$13))</f>
        <v/>
      </c>
      <c r="AB252" s="76" t="str">
        <f>IF($C252="","",IF(Y252&gt;0,ROUND(Y252*'⚙️ SUPUESTOS'!$C$12*'⚙️ SUPUESTOS'!$C$11,0),""))</f>
        <v/>
      </c>
      <c r="AC252" s="76" t="str">
        <f>IF($C252="","",IF(Y252&gt;0,ROUND(Y252*(1-'⚙️ SUPUESTOS'!$C$12)*'⚙️ SUPUESTOS'!$C$13,0),""))</f>
        <v/>
      </c>
      <c r="AD252" s="76" t="str">
        <f t="shared" si="14"/>
        <v/>
      </c>
      <c r="AE252" s="75" t="str">
        <f t="shared" si="15"/>
        <v/>
      </c>
      <c r="AF252" s="70" t="str">
        <f>IF($C252="","",IF(AE252="","—",IF(AE252&lt;='⚙️ SUPUESTOS'!$C$32,"✔ Muy recomendable",IF(AE252&lt;='⚙️ SUPUESTOS'!$C$33,"✔ Recomendable","Valorar"))))</f>
        <v/>
      </c>
      <c r="AG252" s="79" t="str">
        <f>IF('📇 INVENTARIO'!O253="","",'📇 INVENTARIO'!O253)</f>
        <v/>
      </c>
      <c r="AH252" s="79" t="str">
        <f>IF('📇 INVENTARIO'!P253="","",'📇 INVENTARIO'!P253)</f>
        <v/>
      </c>
    </row>
    <row r="253" spans="1:34" ht="45" customHeight="1">
      <c r="A253" s="58" t="str">
        <f>IF($C253="","",RANK(O253,$O$3:$O$265,0)+COUNTIF($O$3:O253,O253)-1)</f>
        <v/>
      </c>
      <c r="B253" s="59" t="str">
        <f>IF($C253="","",IF(A253&lt;='⚙️ SUPUESTOS'!$C$29,"Fase 1",IF(A253&lt;='⚙️ SUPUESTOS'!$C$30,"Fase 2","Fase 3")))</f>
        <v/>
      </c>
      <c r="C253" s="60" t="str">
        <f>IF('📇 INVENTARIO'!B254="","",'📇 INVENTARIO'!B254)</f>
        <v/>
      </c>
      <c r="D253" s="59" t="str">
        <f>IF('📇 INVENTARIO'!C254="","",'📇 INVENTARIO'!C254)</f>
        <v/>
      </c>
      <c r="E253" s="59" t="str">
        <f>IF('📇 INVENTARIO'!D254="","",'📇 INVENTARIO'!D254)</f>
        <v/>
      </c>
      <c r="F253" s="59" t="str">
        <f>IF('📇 INVENTARIO'!F254="","",'📇 INVENTARIO'!F254)</f>
        <v/>
      </c>
      <c r="G253" s="61" t="str">
        <f>IF('📇 INVENTARIO'!G254="","",'📇 INVENTARIO'!G254)</f>
        <v/>
      </c>
      <c r="H253" s="61" t="str">
        <f>IF('📇 INVENTARIO'!H254="","",'📇 INVENTARIO'!H254)</f>
        <v/>
      </c>
      <c r="I253" s="61" t="str">
        <f>IF('📇 INVENTARIO'!I254="","",'📇 INVENTARIO'!I254)</f>
        <v/>
      </c>
      <c r="J253" s="61" t="str">
        <f>IF('📇 INVENTARIO'!J254="","",'📇 INVENTARIO'!J254)</f>
        <v/>
      </c>
      <c r="K253" s="62" t="str">
        <f>IF($C253="","",(G253-'⚙️ SUPUESTOS'!$C$20)/('⚙️ SUPUESTOS'!$C$25-'⚙️ SUPUESTOS'!$C$20))</f>
        <v/>
      </c>
      <c r="L253" s="62" t="str">
        <f>IF($C253="","",VLOOKUP($E253,'📊 SECCIONES'!$B$4:$S$9,16,FALSE()))</f>
        <v/>
      </c>
      <c r="M253" s="62" t="str">
        <f>IF($C253="","",VLOOKUP($E253,'📊 SECCIONES'!$B$4:$S$9,17,FALSE()))</f>
        <v/>
      </c>
      <c r="N253" s="62" t="str">
        <f>IF($C253="","",VLOOKUP($E253,'📊 SECCIONES'!$B$4:$S$9,18,FALSE()))</f>
        <v/>
      </c>
      <c r="O253" s="63" t="str">
        <f>IF($C253="","",ROUND('⚙️ SUPUESTOS'!$C$21*K253+'⚙️ SUPUESTOS'!$C$22*L253+'⚙️ SUPUESTOS'!$C$23*M253+'⚙️ SUPUESTOS'!$C$24*N253,4))</f>
        <v/>
      </c>
      <c r="P253" s="64" t="str">
        <f>IF($C253="","",VLOOKUP($E253,'📊 SECCIONES'!$B$4:$S$9,7,FALSE()))</f>
        <v/>
      </c>
      <c r="Q253" s="65" t="str">
        <f>IF($C253="","",VLOOKUP($E253,'📊 SECCIONES'!$B$4:$S$9,8,FALSE()))</f>
        <v/>
      </c>
      <c r="R253" s="64" t="str">
        <f>IF($C253="","",VLOOKUP($E253,'📊 SECCIONES'!$B$4:$S$9,10,FALSE()))</f>
        <v/>
      </c>
      <c r="S253" s="59" t="str">
        <f>IF('📇 INVENTARIO'!K254="","",'📇 INVENTARIO'!K254)</f>
        <v/>
      </c>
      <c r="T253" s="66" t="str">
        <f t="shared" si="12"/>
        <v/>
      </c>
      <c r="U253" s="59" t="str">
        <f t="shared" si="13"/>
        <v/>
      </c>
      <c r="V253" s="67" t="str">
        <f>IF('📇 INVENTARIO'!L254="","",'📇 INVENTARIO'!L254)</f>
        <v/>
      </c>
      <c r="W253" s="64" t="str">
        <f>IF($C253="","",V253*'⚙️ SUPUESTOS'!$C$8*'⚙️ SUPUESTOS'!$C$9)</f>
        <v/>
      </c>
      <c r="X253" s="67" t="str">
        <f>IF('📇 INVENTARIO'!N254="","",'📇 INVENTARIO'!N254)</f>
        <v/>
      </c>
      <c r="Y253" s="67" t="str">
        <f>IF($C253="","",W253*X253*'⚙️ SUPUESTOS'!$C$7)</f>
        <v/>
      </c>
      <c r="Z253" s="65" t="str">
        <f>IF($C253="","",W253*'⚙️ SUPUESTOS'!$C$10)</f>
        <v/>
      </c>
      <c r="AA253" s="65" t="str">
        <f>IF($C253="","",Y253*('⚙️ SUPUESTOS'!$C$12*'⚙️ SUPUESTOS'!$C$11+(1-'⚙️ SUPUESTOS'!$C$12)*'⚙️ SUPUESTOS'!$C$13))</f>
        <v/>
      </c>
      <c r="AB253" s="65" t="str">
        <f>IF($C253="","",IF(Y253&gt;0,ROUND(Y253*'⚙️ SUPUESTOS'!$C$12*'⚙️ SUPUESTOS'!$C$11,0),""))</f>
        <v/>
      </c>
      <c r="AC253" s="65" t="str">
        <f>IF($C253="","",IF(Y253&gt;0,ROUND(Y253*(1-'⚙️ SUPUESTOS'!$C$12)*'⚙️ SUPUESTOS'!$C$13,0),""))</f>
        <v/>
      </c>
      <c r="AD253" s="65" t="str">
        <f t="shared" si="14"/>
        <v/>
      </c>
      <c r="AE253" s="64" t="str">
        <f t="shared" si="15"/>
        <v/>
      </c>
      <c r="AF253" s="59" t="str">
        <f>IF($C253="","",IF(AE253="","—",IF(AE253&lt;='⚙️ SUPUESTOS'!$C$32,"✔ Muy recomendable",IF(AE253&lt;='⚙️ SUPUESTOS'!$C$33,"✔ Recomendable","Valorar"))))</f>
        <v/>
      </c>
      <c r="AG253" s="68" t="str">
        <f>IF('📇 INVENTARIO'!O254="","",'📇 INVENTARIO'!O254)</f>
        <v/>
      </c>
      <c r="AH253" s="68" t="str">
        <f>IF('📇 INVENTARIO'!P254="","",'📇 INVENTARIO'!P254)</f>
        <v/>
      </c>
    </row>
    <row r="254" spans="1:34" ht="45" customHeight="1">
      <c r="A254" s="69" t="str">
        <f>IF($C254="","",RANK(O254,$O$3:$O$265,0)+COUNTIF($O$3:O254,O254)-1)</f>
        <v/>
      </c>
      <c r="B254" s="70" t="str">
        <f>IF($C254="","",IF(A254&lt;='⚙️ SUPUESTOS'!$C$29,"Fase 1",IF(A254&lt;='⚙️ SUPUESTOS'!$C$30,"Fase 2","Fase 3")))</f>
        <v/>
      </c>
      <c r="C254" s="71" t="str">
        <f>IF('📇 INVENTARIO'!B255="","",'📇 INVENTARIO'!B255)</f>
        <v/>
      </c>
      <c r="D254" s="70" t="str">
        <f>IF('📇 INVENTARIO'!C255="","",'📇 INVENTARIO'!C255)</f>
        <v/>
      </c>
      <c r="E254" s="70" t="str">
        <f>IF('📇 INVENTARIO'!D255="","",'📇 INVENTARIO'!D255)</f>
        <v/>
      </c>
      <c r="F254" s="70" t="str">
        <f>IF('📇 INVENTARIO'!F255="","",'📇 INVENTARIO'!F255)</f>
        <v/>
      </c>
      <c r="G254" s="72" t="str">
        <f>IF('📇 INVENTARIO'!G255="","",'📇 INVENTARIO'!G255)</f>
        <v/>
      </c>
      <c r="H254" s="72" t="str">
        <f>IF('📇 INVENTARIO'!H255="","",'📇 INVENTARIO'!H255)</f>
        <v/>
      </c>
      <c r="I254" s="72" t="str">
        <f>IF('📇 INVENTARIO'!I255="","",'📇 INVENTARIO'!I255)</f>
        <v/>
      </c>
      <c r="J254" s="72" t="str">
        <f>IF('📇 INVENTARIO'!J255="","",'📇 INVENTARIO'!J255)</f>
        <v/>
      </c>
      <c r="K254" s="73" t="str">
        <f>IF($C254="","",(G254-'⚙️ SUPUESTOS'!$C$20)/('⚙️ SUPUESTOS'!$C$25-'⚙️ SUPUESTOS'!$C$20))</f>
        <v/>
      </c>
      <c r="L254" s="73" t="str">
        <f>IF($C254="","",VLOOKUP($E254,'📊 SECCIONES'!$B$4:$S$9,16,FALSE()))</f>
        <v/>
      </c>
      <c r="M254" s="73" t="str">
        <f>IF($C254="","",VLOOKUP($E254,'📊 SECCIONES'!$B$4:$S$9,17,FALSE()))</f>
        <v/>
      </c>
      <c r="N254" s="73" t="str">
        <f>IF($C254="","",VLOOKUP($E254,'📊 SECCIONES'!$B$4:$S$9,18,FALSE()))</f>
        <v/>
      </c>
      <c r="O254" s="74" t="str">
        <f>IF($C254="","",ROUND('⚙️ SUPUESTOS'!$C$21*K254+'⚙️ SUPUESTOS'!$C$22*L254+'⚙️ SUPUESTOS'!$C$23*M254+'⚙️ SUPUESTOS'!$C$24*N254,4))</f>
        <v/>
      </c>
      <c r="P254" s="75" t="str">
        <f>IF($C254="","",VLOOKUP($E254,'📊 SECCIONES'!$B$4:$S$9,7,FALSE()))</f>
        <v/>
      </c>
      <c r="Q254" s="76" t="str">
        <f>IF($C254="","",VLOOKUP($E254,'📊 SECCIONES'!$B$4:$S$9,8,FALSE()))</f>
        <v/>
      </c>
      <c r="R254" s="75" t="str">
        <f>IF($C254="","",VLOOKUP($E254,'📊 SECCIONES'!$B$4:$S$9,10,FALSE()))</f>
        <v/>
      </c>
      <c r="S254" s="70" t="str">
        <f>IF('📇 INVENTARIO'!K255="","",'📇 INVENTARIO'!K255)</f>
        <v/>
      </c>
      <c r="T254" s="77" t="str">
        <f t="shared" si="12"/>
        <v/>
      </c>
      <c r="U254" s="70" t="str">
        <f t="shared" si="13"/>
        <v/>
      </c>
      <c r="V254" s="78" t="str">
        <f>IF('📇 INVENTARIO'!L255="","",'📇 INVENTARIO'!L255)</f>
        <v/>
      </c>
      <c r="W254" s="75" t="str">
        <f>IF($C254="","",V254*'⚙️ SUPUESTOS'!$C$8*'⚙️ SUPUESTOS'!$C$9)</f>
        <v/>
      </c>
      <c r="X254" s="78" t="str">
        <f>IF('📇 INVENTARIO'!N255="","",'📇 INVENTARIO'!N255)</f>
        <v/>
      </c>
      <c r="Y254" s="78" t="str">
        <f>IF($C254="","",W254*X254*'⚙️ SUPUESTOS'!$C$7)</f>
        <v/>
      </c>
      <c r="Z254" s="76" t="str">
        <f>IF($C254="","",W254*'⚙️ SUPUESTOS'!$C$10)</f>
        <v/>
      </c>
      <c r="AA254" s="76" t="str">
        <f>IF($C254="","",Y254*('⚙️ SUPUESTOS'!$C$12*'⚙️ SUPUESTOS'!$C$11+(1-'⚙️ SUPUESTOS'!$C$12)*'⚙️ SUPUESTOS'!$C$13))</f>
        <v/>
      </c>
      <c r="AB254" s="76" t="str">
        <f>IF($C254="","",IF(Y254&gt;0,ROUND(Y254*'⚙️ SUPUESTOS'!$C$12*'⚙️ SUPUESTOS'!$C$11,0),""))</f>
        <v/>
      </c>
      <c r="AC254" s="76" t="str">
        <f>IF($C254="","",IF(Y254&gt;0,ROUND(Y254*(1-'⚙️ SUPUESTOS'!$C$12)*'⚙️ SUPUESTOS'!$C$13,0),""))</f>
        <v/>
      </c>
      <c r="AD254" s="76" t="str">
        <f t="shared" si="14"/>
        <v/>
      </c>
      <c r="AE254" s="75" t="str">
        <f t="shared" si="15"/>
        <v/>
      </c>
      <c r="AF254" s="70" t="str">
        <f>IF($C254="","",IF(AE254="","—",IF(AE254&lt;='⚙️ SUPUESTOS'!$C$32,"✔ Muy recomendable",IF(AE254&lt;='⚙️ SUPUESTOS'!$C$33,"✔ Recomendable","Valorar"))))</f>
        <v/>
      </c>
      <c r="AG254" s="79" t="str">
        <f>IF('📇 INVENTARIO'!O255="","",'📇 INVENTARIO'!O255)</f>
        <v/>
      </c>
      <c r="AH254" s="79" t="str">
        <f>IF('📇 INVENTARIO'!P255="","",'📇 INVENTARIO'!P255)</f>
        <v/>
      </c>
    </row>
    <row r="255" spans="1:34" ht="45" customHeight="1">
      <c r="A255" s="58" t="str">
        <f>IF($C255="","",RANK(O255,$O$3:$O$265,0)+COUNTIF($O$3:O255,O255)-1)</f>
        <v/>
      </c>
      <c r="B255" s="59" t="str">
        <f>IF($C255="","",IF(A255&lt;='⚙️ SUPUESTOS'!$C$29,"Fase 1",IF(A255&lt;='⚙️ SUPUESTOS'!$C$30,"Fase 2","Fase 3")))</f>
        <v/>
      </c>
      <c r="C255" s="60" t="str">
        <f>IF('📇 INVENTARIO'!B256="","",'📇 INVENTARIO'!B256)</f>
        <v/>
      </c>
      <c r="D255" s="59" t="str">
        <f>IF('📇 INVENTARIO'!C256="","",'📇 INVENTARIO'!C256)</f>
        <v/>
      </c>
      <c r="E255" s="59" t="str">
        <f>IF('📇 INVENTARIO'!D256="","",'📇 INVENTARIO'!D256)</f>
        <v/>
      </c>
      <c r="F255" s="59" t="str">
        <f>IF('📇 INVENTARIO'!F256="","",'📇 INVENTARIO'!F256)</f>
        <v/>
      </c>
      <c r="G255" s="61" t="str">
        <f>IF('📇 INVENTARIO'!G256="","",'📇 INVENTARIO'!G256)</f>
        <v/>
      </c>
      <c r="H255" s="61" t="str">
        <f>IF('📇 INVENTARIO'!H256="","",'📇 INVENTARIO'!H256)</f>
        <v/>
      </c>
      <c r="I255" s="61" t="str">
        <f>IF('📇 INVENTARIO'!I256="","",'📇 INVENTARIO'!I256)</f>
        <v/>
      </c>
      <c r="J255" s="61" t="str">
        <f>IF('📇 INVENTARIO'!J256="","",'📇 INVENTARIO'!J256)</f>
        <v/>
      </c>
      <c r="K255" s="62" t="str">
        <f>IF($C255="","",(G255-'⚙️ SUPUESTOS'!$C$20)/('⚙️ SUPUESTOS'!$C$25-'⚙️ SUPUESTOS'!$C$20))</f>
        <v/>
      </c>
      <c r="L255" s="62" t="str">
        <f>IF($C255="","",VLOOKUP($E255,'📊 SECCIONES'!$B$4:$S$9,16,FALSE()))</f>
        <v/>
      </c>
      <c r="M255" s="62" t="str">
        <f>IF($C255="","",VLOOKUP($E255,'📊 SECCIONES'!$B$4:$S$9,17,FALSE()))</f>
        <v/>
      </c>
      <c r="N255" s="62" t="str">
        <f>IF($C255="","",VLOOKUP($E255,'📊 SECCIONES'!$B$4:$S$9,18,FALSE()))</f>
        <v/>
      </c>
      <c r="O255" s="63" t="str">
        <f>IF($C255="","",ROUND('⚙️ SUPUESTOS'!$C$21*K255+'⚙️ SUPUESTOS'!$C$22*L255+'⚙️ SUPUESTOS'!$C$23*M255+'⚙️ SUPUESTOS'!$C$24*N255,4))</f>
        <v/>
      </c>
      <c r="P255" s="64" t="str">
        <f>IF($C255="","",VLOOKUP($E255,'📊 SECCIONES'!$B$4:$S$9,7,FALSE()))</f>
        <v/>
      </c>
      <c r="Q255" s="65" t="str">
        <f>IF($C255="","",VLOOKUP($E255,'📊 SECCIONES'!$B$4:$S$9,8,FALSE()))</f>
        <v/>
      </c>
      <c r="R255" s="64" t="str">
        <f>IF($C255="","",VLOOKUP($E255,'📊 SECCIONES'!$B$4:$S$9,10,FALSE()))</f>
        <v/>
      </c>
      <c r="S255" s="59" t="str">
        <f>IF('📇 INVENTARIO'!K256="","",'📇 INVENTARIO'!K256)</f>
        <v/>
      </c>
      <c r="T255" s="66" t="str">
        <f t="shared" si="12"/>
        <v/>
      </c>
      <c r="U255" s="59" t="str">
        <f t="shared" si="13"/>
        <v/>
      </c>
      <c r="V255" s="67" t="str">
        <f>IF('📇 INVENTARIO'!L256="","",'📇 INVENTARIO'!L256)</f>
        <v/>
      </c>
      <c r="W255" s="64" t="str">
        <f>IF($C255="","",V255*'⚙️ SUPUESTOS'!$C$8*'⚙️ SUPUESTOS'!$C$9)</f>
        <v/>
      </c>
      <c r="X255" s="67" t="str">
        <f>IF('📇 INVENTARIO'!N256="","",'📇 INVENTARIO'!N256)</f>
        <v/>
      </c>
      <c r="Y255" s="67" t="str">
        <f>IF($C255="","",W255*X255*'⚙️ SUPUESTOS'!$C$7)</f>
        <v/>
      </c>
      <c r="Z255" s="65" t="str">
        <f>IF($C255="","",W255*'⚙️ SUPUESTOS'!$C$10)</f>
        <v/>
      </c>
      <c r="AA255" s="65" t="str">
        <f>IF($C255="","",Y255*('⚙️ SUPUESTOS'!$C$12*'⚙️ SUPUESTOS'!$C$11+(1-'⚙️ SUPUESTOS'!$C$12)*'⚙️ SUPUESTOS'!$C$13))</f>
        <v/>
      </c>
      <c r="AB255" s="65" t="str">
        <f>IF($C255="","",IF(Y255&gt;0,ROUND(Y255*'⚙️ SUPUESTOS'!$C$12*'⚙️ SUPUESTOS'!$C$11,0),""))</f>
        <v/>
      </c>
      <c r="AC255" s="65" t="str">
        <f>IF($C255="","",IF(Y255&gt;0,ROUND(Y255*(1-'⚙️ SUPUESTOS'!$C$12)*'⚙️ SUPUESTOS'!$C$13,0),""))</f>
        <v/>
      </c>
      <c r="AD255" s="65" t="str">
        <f t="shared" si="14"/>
        <v/>
      </c>
      <c r="AE255" s="64" t="str">
        <f t="shared" si="15"/>
        <v/>
      </c>
      <c r="AF255" s="59" t="str">
        <f>IF($C255="","",IF(AE255="","—",IF(AE255&lt;='⚙️ SUPUESTOS'!$C$32,"✔ Muy recomendable",IF(AE255&lt;='⚙️ SUPUESTOS'!$C$33,"✔ Recomendable","Valorar"))))</f>
        <v/>
      </c>
      <c r="AG255" s="68" t="str">
        <f>IF('📇 INVENTARIO'!O256="","",'📇 INVENTARIO'!O256)</f>
        <v/>
      </c>
      <c r="AH255" s="68" t="str">
        <f>IF('📇 INVENTARIO'!P256="","",'📇 INVENTARIO'!P256)</f>
        <v/>
      </c>
    </row>
    <row r="256" spans="1:34" ht="45" customHeight="1">
      <c r="A256" s="69" t="str">
        <f>IF($C256="","",RANK(O256,$O$3:$O$265,0)+COUNTIF($O$3:O256,O256)-1)</f>
        <v/>
      </c>
      <c r="B256" s="70" t="str">
        <f>IF($C256="","",IF(A256&lt;='⚙️ SUPUESTOS'!$C$29,"Fase 1",IF(A256&lt;='⚙️ SUPUESTOS'!$C$30,"Fase 2","Fase 3")))</f>
        <v/>
      </c>
      <c r="C256" s="71" t="str">
        <f>IF('📇 INVENTARIO'!B257="","",'📇 INVENTARIO'!B257)</f>
        <v/>
      </c>
      <c r="D256" s="70" t="str">
        <f>IF('📇 INVENTARIO'!C257="","",'📇 INVENTARIO'!C257)</f>
        <v/>
      </c>
      <c r="E256" s="70" t="str">
        <f>IF('📇 INVENTARIO'!D257="","",'📇 INVENTARIO'!D257)</f>
        <v/>
      </c>
      <c r="F256" s="70" t="str">
        <f>IF('📇 INVENTARIO'!F257="","",'📇 INVENTARIO'!F257)</f>
        <v/>
      </c>
      <c r="G256" s="72" t="str">
        <f>IF('📇 INVENTARIO'!G257="","",'📇 INVENTARIO'!G257)</f>
        <v/>
      </c>
      <c r="H256" s="72" t="str">
        <f>IF('📇 INVENTARIO'!H257="","",'📇 INVENTARIO'!H257)</f>
        <v/>
      </c>
      <c r="I256" s="72" t="str">
        <f>IF('📇 INVENTARIO'!I257="","",'📇 INVENTARIO'!I257)</f>
        <v/>
      </c>
      <c r="J256" s="72" t="str">
        <f>IF('📇 INVENTARIO'!J257="","",'📇 INVENTARIO'!J257)</f>
        <v/>
      </c>
      <c r="K256" s="73" t="str">
        <f>IF($C256="","",(G256-'⚙️ SUPUESTOS'!$C$20)/('⚙️ SUPUESTOS'!$C$25-'⚙️ SUPUESTOS'!$C$20))</f>
        <v/>
      </c>
      <c r="L256" s="73" t="str">
        <f>IF($C256="","",VLOOKUP($E256,'📊 SECCIONES'!$B$4:$S$9,16,FALSE()))</f>
        <v/>
      </c>
      <c r="M256" s="73" t="str">
        <f>IF($C256="","",VLOOKUP($E256,'📊 SECCIONES'!$B$4:$S$9,17,FALSE()))</f>
        <v/>
      </c>
      <c r="N256" s="73" t="str">
        <f>IF($C256="","",VLOOKUP($E256,'📊 SECCIONES'!$B$4:$S$9,18,FALSE()))</f>
        <v/>
      </c>
      <c r="O256" s="74" t="str">
        <f>IF($C256="","",ROUND('⚙️ SUPUESTOS'!$C$21*K256+'⚙️ SUPUESTOS'!$C$22*L256+'⚙️ SUPUESTOS'!$C$23*M256+'⚙️ SUPUESTOS'!$C$24*N256,4))</f>
        <v/>
      </c>
      <c r="P256" s="75" t="str">
        <f>IF($C256="","",VLOOKUP($E256,'📊 SECCIONES'!$B$4:$S$9,7,FALSE()))</f>
        <v/>
      </c>
      <c r="Q256" s="76" t="str">
        <f>IF($C256="","",VLOOKUP($E256,'📊 SECCIONES'!$B$4:$S$9,8,FALSE()))</f>
        <v/>
      </c>
      <c r="R256" s="75" t="str">
        <f>IF($C256="","",VLOOKUP($E256,'📊 SECCIONES'!$B$4:$S$9,10,FALSE()))</f>
        <v/>
      </c>
      <c r="S256" s="70" t="str">
        <f>IF('📇 INVENTARIO'!K257="","",'📇 INVENTARIO'!K257)</f>
        <v/>
      </c>
      <c r="T256" s="77" t="str">
        <f t="shared" si="12"/>
        <v/>
      </c>
      <c r="U256" s="70" t="str">
        <f t="shared" si="13"/>
        <v/>
      </c>
      <c r="V256" s="78" t="str">
        <f>IF('📇 INVENTARIO'!L257="","",'📇 INVENTARIO'!L257)</f>
        <v/>
      </c>
      <c r="W256" s="75" t="str">
        <f>IF($C256="","",V256*'⚙️ SUPUESTOS'!$C$8*'⚙️ SUPUESTOS'!$C$9)</f>
        <v/>
      </c>
      <c r="X256" s="78" t="str">
        <f>IF('📇 INVENTARIO'!N257="","",'📇 INVENTARIO'!N257)</f>
        <v/>
      </c>
      <c r="Y256" s="78" t="str">
        <f>IF($C256="","",W256*X256*'⚙️ SUPUESTOS'!$C$7)</f>
        <v/>
      </c>
      <c r="Z256" s="76" t="str">
        <f>IF($C256="","",W256*'⚙️ SUPUESTOS'!$C$10)</f>
        <v/>
      </c>
      <c r="AA256" s="76" t="str">
        <f>IF($C256="","",Y256*('⚙️ SUPUESTOS'!$C$12*'⚙️ SUPUESTOS'!$C$11+(1-'⚙️ SUPUESTOS'!$C$12)*'⚙️ SUPUESTOS'!$C$13))</f>
        <v/>
      </c>
      <c r="AB256" s="76" t="str">
        <f>IF($C256="","",IF(Y256&gt;0,ROUND(Y256*'⚙️ SUPUESTOS'!$C$12*'⚙️ SUPUESTOS'!$C$11,0),""))</f>
        <v/>
      </c>
      <c r="AC256" s="76" t="str">
        <f>IF($C256="","",IF(Y256&gt;0,ROUND(Y256*(1-'⚙️ SUPUESTOS'!$C$12)*'⚙️ SUPUESTOS'!$C$13,0),""))</f>
        <v/>
      </c>
      <c r="AD256" s="76" t="str">
        <f t="shared" si="14"/>
        <v/>
      </c>
      <c r="AE256" s="75" t="str">
        <f t="shared" si="15"/>
        <v/>
      </c>
      <c r="AF256" s="70" t="str">
        <f>IF($C256="","",IF(AE256="","—",IF(AE256&lt;='⚙️ SUPUESTOS'!$C$32,"✔ Muy recomendable",IF(AE256&lt;='⚙️ SUPUESTOS'!$C$33,"✔ Recomendable","Valorar"))))</f>
        <v/>
      </c>
      <c r="AG256" s="79" t="str">
        <f>IF('📇 INVENTARIO'!O257="","",'📇 INVENTARIO'!O257)</f>
        <v/>
      </c>
      <c r="AH256" s="79" t="str">
        <f>IF('📇 INVENTARIO'!P257="","",'📇 INVENTARIO'!P257)</f>
        <v/>
      </c>
    </row>
    <row r="257" spans="1:34" ht="45" customHeight="1">
      <c r="A257" s="58" t="str">
        <f>IF($C257="","",RANK(O257,$O$3:$O$265,0)+COUNTIF($O$3:O257,O257)-1)</f>
        <v/>
      </c>
      <c r="B257" s="59" t="str">
        <f>IF($C257="","",IF(A257&lt;='⚙️ SUPUESTOS'!$C$29,"Fase 1",IF(A257&lt;='⚙️ SUPUESTOS'!$C$30,"Fase 2","Fase 3")))</f>
        <v/>
      </c>
      <c r="C257" s="60" t="str">
        <f>IF('📇 INVENTARIO'!B258="","",'📇 INVENTARIO'!B258)</f>
        <v/>
      </c>
      <c r="D257" s="59" t="str">
        <f>IF('📇 INVENTARIO'!C258="","",'📇 INVENTARIO'!C258)</f>
        <v/>
      </c>
      <c r="E257" s="59" t="str">
        <f>IF('📇 INVENTARIO'!D258="","",'📇 INVENTARIO'!D258)</f>
        <v/>
      </c>
      <c r="F257" s="59" t="str">
        <f>IF('📇 INVENTARIO'!F258="","",'📇 INVENTARIO'!F258)</f>
        <v/>
      </c>
      <c r="G257" s="61" t="str">
        <f>IF('📇 INVENTARIO'!G258="","",'📇 INVENTARIO'!G258)</f>
        <v/>
      </c>
      <c r="H257" s="61" t="str">
        <f>IF('📇 INVENTARIO'!H258="","",'📇 INVENTARIO'!H258)</f>
        <v/>
      </c>
      <c r="I257" s="61" t="str">
        <f>IF('📇 INVENTARIO'!I258="","",'📇 INVENTARIO'!I258)</f>
        <v/>
      </c>
      <c r="J257" s="61" t="str">
        <f>IF('📇 INVENTARIO'!J258="","",'📇 INVENTARIO'!J258)</f>
        <v/>
      </c>
      <c r="K257" s="62" t="str">
        <f>IF($C257="","",(G257-'⚙️ SUPUESTOS'!$C$20)/('⚙️ SUPUESTOS'!$C$25-'⚙️ SUPUESTOS'!$C$20))</f>
        <v/>
      </c>
      <c r="L257" s="62" t="str">
        <f>IF($C257="","",VLOOKUP($E257,'📊 SECCIONES'!$B$4:$S$9,16,FALSE()))</f>
        <v/>
      </c>
      <c r="M257" s="62" t="str">
        <f>IF($C257="","",VLOOKUP($E257,'📊 SECCIONES'!$B$4:$S$9,17,FALSE()))</f>
        <v/>
      </c>
      <c r="N257" s="62" t="str">
        <f>IF($C257="","",VLOOKUP($E257,'📊 SECCIONES'!$B$4:$S$9,18,FALSE()))</f>
        <v/>
      </c>
      <c r="O257" s="63" t="str">
        <f>IF($C257="","",ROUND('⚙️ SUPUESTOS'!$C$21*K257+'⚙️ SUPUESTOS'!$C$22*L257+'⚙️ SUPUESTOS'!$C$23*M257+'⚙️ SUPUESTOS'!$C$24*N257,4))</f>
        <v/>
      </c>
      <c r="P257" s="64" t="str">
        <f>IF($C257="","",VLOOKUP($E257,'📊 SECCIONES'!$B$4:$S$9,7,FALSE()))</f>
        <v/>
      </c>
      <c r="Q257" s="65" t="str">
        <f>IF($C257="","",VLOOKUP($E257,'📊 SECCIONES'!$B$4:$S$9,8,FALSE()))</f>
        <v/>
      </c>
      <c r="R257" s="64" t="str">
        <f>IF($C257="","",VLOOKUP($E257,'📊 SECCIONES'!$B$4:$S$9,10,FALSE()))</f>
        <v/>
      </c>
      <c r="S257" s="59" t="str">
        <f>IF('📇 INVENTARIO'!K258="","",'📇 INVENTARIO'!K258)</f>
        <v/>
      </c>
      <c r="T257" s="66" t="str">
        <f t="shared" si="12"/>
        <v/>
      </c>
      <c r="U257" s="59" t="str">
        <f t="shared" si="13"/>
        <v/>
      </c>
      <c r="V257" s="67" t="str">
        <f>IF('📇 INVENTARIO'!L258="","",'📇 INVENTARIO'!L258)</f>
        <v/>
      </c>
      <c r="W257" s="64" t="str">
        <f>IF($C257="","",V257*'⚙️ SUPUESTOS'!$C$8*'⚙️ SUPUESTOS'!$C$9)</f>
        <v/>
      </c>
      <c r="X257" s="67" t="str">
        <f>IF('📇 INVENTARIO'!N258="","",'📇 INVENTARIO'!N258)</f>
        <v/>
      </c>
      <c r="Y257" s="67" t="str">
        <f>IF($C257="","",W257*X257*'⚙️ SUPUESTOS'!$C$7)</f>
        <v/>
      </c>
      <c r="Z257" s="65" t="str">
        <f>IF($C257="","",W257*'⚙️ SUPUESTOS'!$C$10)</f>
        <v/>
      </c>
      <c r="AA257" s="65" t="str">
        <f>IF($C257="","",Y257*('⚙️ SUPUESTOS'!$C$12*'⚙️ SUPUESTOS'!$C$11+(1-'⚙️ SUPUESTOS'!$C$12)*'⚙️ SUPUESTOS'!$C$13))</f>
        <v/>
      </c>
      <c r="AB257" s="65" t="str">
        <f>IF($C257="","",IF(Y257&gt;0,ROUND(Y257*'⚙️ SUPUESTOS'!$C$12*'⚙️ SUPUESTOS'!$C$11,0),""))</f>
        <v/>
      </c>
      <c r="AC257" s="65" t="str">
        <f>IF($C257="","",IF(Y257&gt;0,ROUND(Y257*(1-'⚙️ SUPUESTOS'!$C$12)*'⚙️ SUPUESTOS'!$C$13,0),""))</f>
        <v/>
      </c>
      <c r="AD257" s="65" t="str">
        <f t="shared" si="14"/>
        <v/>
      </c>
      <c r="AE257" s="64" t="str">
        <f t="shared" si="15"/>
        <v/>
      </c>
      <c r="AF257" s="59" t="str">
        <f>IF($C257="","",IF(AE257="","—",IF(AE257&lt;='⚙️ SUPUESTOS'!$C$32,"✔ Muy recomendable",IF(AE257&lt;='⚙️ SUPUESTOS'!$C$33,"✔ Recomendable","Valorar"))))</f>
        <v/>
      </c>
      <c r="AG257" s="68" t="str">
        <f>IF('📇 INVENTARIO'!O258="","",'📇 INVENTARIO'!O258)</f>
        <v/>
      </c>
      <c r="AH257" s="68" t="str">
        <f>IF('📇 INVENTARIO'!P258="","",'📇 INVENTARIO'!P258)</f>
        <v/>
      </c>
    </row>
    <row r="258" spans="1:34" ht="45" customHeight="1">
      <c r="A258" s="69" t="str">
        <f>IF($C258="","",RANK(O258,$O$3:$O$265,0)+COUNTIF($O$3:O258,O258)-1)</f>
        <v/>
      </c>
      <c r="B258" s="70" t="str">
        <f>IF($C258="","",IF(A258&lt;='⚙️ SUPUESTOS'!$C$29,"Fase 1",IF(A258&lt;='⚙️ SUPUESTOS'!$C$30,"Fase 2","Fase 3")))</f>
        <v/>
      </c>
      <c r="C258" s="71" t="str">
        <f>IF('📇 INVENTARIO'!B259="","",'📇 INVENTARIO'!B259)</f>
        <v/>
      </c>
      <c r="D258" s="70" t="str">
        <f>IF('📇 INVENTARIO'!C259="","",'📇 INVENTARIO'!C259)</f>
        <v/>
      </c>
      <c r="E258" s="70" t="str">
        <f>IF('📇 INVENTARIO'!D259="","",'📇 INVENTARIO'!D259)</f>
        <v/>
      </c>
      <c r="F258" s="70" t="str">
        <f>IF('📇 INVENTARIO'!F259="","",'📇 INVENTARIO'!F259)</f>
        <v/>
      </c>
      <c r="G258" s="72" t="str">
        <f>IF('📇 INVENTARIO'!G259="","",'📇 INVENTARIO'!G259)</f>
        <v/>
      </c>
      <c r="H258" s="72" t="str">
        <f>IF('📇 INVENTARIO'!H259="","",'📇 INVENTARIO'!H259)</f>
        <v/>
      </c>
      <c r="I258" s="72" t="str">
        <f>IF('📇 INVENTARIO'!I259="","",'📇 INVENTARIO'!I259)</f>
        <v/>
      </c>
      <c r="J258" s="72" t="str">
        <f>IF('📇 INVENTARIO'!J259="","",'📇 INVENTARIO'!J259)</f>
        <v/>
      </c>
      <c r="K258" s="73" t="str">
        <f>IF($C258="","",(G258-'⚙️ SUPUESTOS'!$C$20)/('⚙️ SUPUESTOS'!$C$25-'⚙️ SUPUESTOS'!$C$20))</f>
        <v/>
      </c>
      <c r="L258" s="73" t="str">
        <f>IF($C258="","",VLOOKUP($E258,'📊 SECCIONES'!$B$4:$S$9,16,FALSE()))</f>
        <v/>
      </c>
      <c r="M258" s="73" t="str">
        <f>IF($C258="","",VLOOKUP($E258,'📊 SECCIONES'!$B$4:$S$9,17,FALSE()))</f>
        <v/>
      </c>
      <c r="N258" s="73" t="str">
        <f>IF($C258="","",VLOOKUP($E258,'📊 SECCIONES'!$B$4:$S$9,18,FALSE()))</f>
        <v/>
      </c>
      <c r="O258" s="74" t="str">
        <f>IF($C258="","",ROUND('⚙️ SUPUESTOS'!$C$21*K258+'⚙️ SUPUESTOS'!$C$22*L258+'⚙️ SUPUESTOS'!$C$23*M258+'⚙️ SUPUESTOS'!$C$24*N258,4))</f>
        <v/>
      </c>
      <c r="P258" s="75" t="str">
        <f>IF($C258="","",VLOOKUP($E258,'📊 SECCIONES'!$B$4:$S$9,7,FALSE()))</f>
        <v/>
      </c>
      <c r="Q258" s="76" t="str">
        <f>IF($C258="","",VLOOKUP($E258,'📊 SECCIONES'!$B$4:$S$9,8,FALSE()))</f>
        <v/>
      </c>
      <c r="R258" s="75" t="str">
        <f>IF($C258="","",VLOOKUP($E258,'📊 SECCIONES'!$B$4:$S$9,10,FALSE()))</f>
        <v/>
      </c>
      <c r="S258" s="70" t="str">
        <f>IF('📇 INVENTARIO'!K259="","",'📇 INVENTARIO'!K259)</f>
        <v/>
      </c>
      <c r="T258" s="77" t="str">
        <f t="shared" si="12"/>
        <v/>
      </c>
      <c r="U258" s="70" t="str">
        <f t="shared" si="13"/>
        <v/>
      </c>
      <c r="V258" s="78" t="str">
        <f>IF('📇 INVENTARIO'!L259="","",'📇 INVENTARIO'!L259)</f>
        <v/>
      </c>
      <c r="W258" s="75" t="str">
        <f>IF($C258="","",V258*'⚙️ SUPUESTOS'!$C$8*'⚙️ SUPUESTOS'!$C$9)</f>
        <v/>
      </c>
      <c r="X258" s="78" t="str">
        <f>IF('📇 INVENTARIO'!N259="","",'📇 INVENTARIO'!N259)</f>
        <v/>
      </c>
      <c r="Y258" s="78" t="str">
        <f>IF($C258="","",W258*X258*'⚙️ SUPUESTOS'!$C$7)</f>
        <v/>
      </c>
      <c r="Z258" s="76" t="str">
        <f>IF($C258="","",W258*'⚙️ SUPUESTOS'!$C$10)</f>
        <v/>
      </c>
      <c r="AA258" s="76" t="str">
        <f>IF($C258="","",Y258*('⚙️ SUPUESTOS'!$C$12*'⚙️ SUPUESTOS'!$C$11+(1-'⚙️ SUPUESTOS'!$C$12)*'⚙️ SUPUESTOS'!$C$13))</f>
        <v/>
      </c>
      <c r="AB258" s="76" t="str">
        <f>IF($C258="","",IF(Y258&gt;0,ROUND(Y258*'⚙️ SUPUESTOS'!$C$12*'⚙️ SUPUESTOS'!$C$11,0),""))</f>
        <v/>
      </c>
      <c r="AC258" s="76" t="str">
        <f>IF($C258="","",IF(Y258&gt;0,ROUND(Y258*(1-'⚙️ SUPUESTOS'!$C$12)*'⚙️ SUPUESTOS'!$C$13,0),""))</f>
        <v/>
      </c>
      <c r="AD258" s="76" t="str">
        <f t="shared" si="14"/>
        <v/>
      </c>
      <c r="AE258" s="75" t="str">
        <f t="shared" si="15"/>
        <v/>
      </c>
      <c r="AF258" s="70" t="str">
        <f>IF($C258="","",IF(AE258="","—",IF(AE258&lt;='⚙️ SUPUESTOS'!$C$32,"✔ Muy recomendable",IF(AE258&lt;='⚙️ SUPUESTOS'!$C$33,"✔ Recomendable","Valorar"))))</f>
        <v/>
      </c>
      <c r="AG258" s="79" t="str">
        <f>IF('📇 INVENTARIO'!O259="","",'📇 INVENTARIO'!O259)</f>
        <v/>
      </c>
      <c r="AH258" s="79" t="str">
        <f>IF('📇 INVENTARIO'!P259="","",'📇 INVENTARIO'!P259)</f>
        <v/>
      </c>
    </row>
    <row r="259" spans="1:34" ht="45" customHeight="1">
      <c r="A259" s="58" t="str">
        <f>IF($C259="","",RANK(O259,$O$3:$O$265,0)+COUNTIF($O$3:O259,O259)-1)</f>
        <v/>
      </c>
      <c r="B259" s="59" t="str">
        <f>IF($C259="","",IF(A259&lt;='⚙️ SUPUESTOS'!$C$29,"Fase 1",IF(A259&lt;='⚙️ SUPUESTOS'!$C$30,"Fase 2","Fase 3")))</f>
        <v/>
      </c>
      <c r="C259" s="60" t="str">
        <f>IF('📇 INVENTARIO'!B260="","",'📇 INVENTARIO'!B260)</f>
        <v/>
      </c>
      <c r="D259" s="59" t="str">
        <f>IF('📇 INVENTARIO'!C260="","",'📇 INVENTARIO'!C260)</f>
        <v/>
      </c>
      <c r="E259" s="59" t="str">
        <f>IF('📇 INVENTARIO'!D260="","",'📇 INVENTARIO'!D260)</f>
        <v/>
      </c>
      <c r="F259" s="59" t="str">
        <f>IF('📇 INVENTARIO'!F260="","",'📇 INVENTARIO'!F260)</f>
        <v/>
      </c>
      <c r="G259" s="61" t="str">
        <f>IF('📇 INVENTARIO'!G260="","",'📇 INVENTARIO'!G260)</f>
        <v/>
      </c>
      <c r="H259" s="61" t="str">
        <f>IF('📇 INVENTARIO'!H260="","",'📇 INVENTARIO'!H260)</f>
        <v/>
      </c>
      <c r="I259" s="61" t="str">
        <f>IF('📇 INVENTARIO'!I260="","",'📇 INVENTARIO'!I260)</f>
        <v/>
      </c>
      <c r="J259" s="61" t="str">
        <f>IF('📇 INVENTARIO'!J260="","",'📇 INVENTARIO'!J260)</f>
        <v/>
      </c>
      <c r="K259" s="62" t="str">
        <f>IF($C259="","",(G259-'⚙️ SUPUESTOS'!$C$20)/('⚙️ SUPUESTOS'!$C$25-'⚙️ SUPUESTOS'!$C$20))</f>
        <v/>
      </c>
      <c r="L259" s="62" t="str">
        <f>IF($C259="","",VLOOKUP($E259,'📊 SECCIONES'!$B$4:$S$9,16,FALSE()))</f>
        <v/>
      </c>
      <c r="M259" s="62" t="str">
        <f>IF($C259="","",VLOOKUP($E259,'📊 SECCIONES'!$B$4:$S$9,17,FALSE()))</f>
        <v/>
      </c>
      <c r="N259" s="62" t="str">
        <f>IF($C259="","",VLOOKUP($E259,'📊 SECCIONES'!$B$4:$S$9,18,FALSE()))</f>
        <v/>
      </c>
      <c r="O259" s="63" t="str">
        <f>IF($C259="","",ROUND('⚙️ SUPUESTOS'!$C$21*K259+'⚙️ SUPUESTOS'!$C$22*L259+'⚙️ SUPUESTOS'!$C$23*M259+'⚙️ SUPUESTOS'!$C$24*N259,4))</f>
        <v/>
      </c>
      <c r="P259" s="64" t="str">
        <f>IF($C259="","",VLOOKUP($E259,'📊 SECCIONES'!$B$4:$S$9,7,FALSE()))</f>
        <v/>
      </c>
      <c r="Q259" s="65" t="str">
        <f>IF($C259="","",VLOOKUP($E259,'📊 SECCIONES'!$B$4:$S$9,8,FALSE()))</f>
        <v/>
      </c>
      <c r="R259" s="64" t="str">
        <f>IF($C259="","",VLOOKUP($E259,'📊 SECCIONES'!$B$4:$S$9,10,FALSE()))</f>
        <v/>
      </c>
      <c r="S259" s="59" t="str">
        <f>IF('📇 INVENTARIO'!K260="","",'📇 INVENTARIO'!K260)</f>
        <v/>
      </c>
      <c r="T259" s="66" t="str">
        <f t="shared" ref="T259:T265" si="16">IF($C259="","","Objetivo: alcanzar calificación C. Actual: Cal."&amp;F259&amp;". "&amp;IF(OR(F259="G",F259="F"),"SATE integral + cubierta + carpinterías triple + aerotermia + instalación fotovoltaica",IF(F259="E","SATE fachada + carpinterías doble + instalación fotovoltaica",IF(F259="D","Mantenimiento de envolvente + instalación fotovoltaica en cubierta","Optimización energética + instalación fotovoltaica"))))</f>
        <v/>
      </c>
      <c r="U259" s="59" t="str">
        <f t="shared" ref="U259:U265" si="17">IF($C259="","",IF(S259=0,"s/d",IF(S259&gt;=4,"Valorar ascensor (verificar)","—")))</f>
        <v/>
      </c>
      <c r="V259" s="67" t="str">
        <f>IF('📇 INVENTARIO'!L260="","",'📇 INVENTARIO'!L260)</f>
        <v/>
      </c>
      <c r="W259" s="64" t="str">
        <f>IF($C259="","",V259*'⚙️ SUPUESTOS'!$C$8*'⚙️ SUPUESTOS'!$C$9)</f>
        <v/>
      </c>
      <c r="X259" s="67" t="str">
        <f>IF('📇 INVENTARIO'!N260="","",'📇 INVENTARIO'!N260)</f>
        <v/>
      </c>
      <c r="Y259" s="67" t="str">
        <f>IF($C259="","",W259*X259*'⚙️ SUPUESTOS'!$C$7)</f>
        <v/>
      </c>
      <c r="Z259" s="65" t="str">
        <f>IF($C259="","",W259*'⚙️ SUPUESTOS'!$C$10)</f>
        <v/>
      </c>
      <c r="AA259" s="65" t="str">
        <f>IF($C259="","",Y259*('⚙️ SUPUESTOS'!$C$12*'⚙️ SUPUESTOS'!$C$11+(1-'⚙️ SUPUESTOS'!$C$12)*'⚙️ SUPUESTOS'!$C$13))</f>
        <v/>
      </c>
      <c r="AB259" s="65" t="str">
        <f>IF($C259="","",IF(Y259&gt;0,ROUND(Y259*'⚙️ SUPUESTOS'!$C$12*'⚙️ SUPUESTOS'!$C$11,0),""))</f>
        <v/>
      </c>
      <c r="AC259" s="65" t="str">
        <f>IF($C259="","",IF(Y259&gt;0,ROUND(Y259*(1-'⚙️ SUPUESTOS'!$C$12)*'⚙️ SUPUESTOS'!$C$13,0),""))</f>
        <v/>
      </c>
      <c r="AD259" s="65" t="str">
        <f t="shared" ref="AD259:AD265" si="18">IF($C259="","",IF(AND(ISNUMBER(AA259),ISNUMBER(AE259),AA259&gt;0,AE259&gt;0),ROUND(AA259*MAX(0,25-AE259),0),""))</f>
        <v/>
      </c>
      <c r="AE259" s="64" t="str">
        <f t="shared" ref="AE259:AE265" si="19">IF($C259="","",IF(AA259&gt;0,Z259/AA259,""))</f>
        <v/>
      </c>
      <c r="AF259" s="59" t="str">
        <f>IF($C259="","",IF(AE259="","—",IF(AE259&lt;='⚙️ SUPUESTOS'!$C$32,"✔ Muy recomendable",IF(AE259&lt;='⚙️ SUPUESTOS'!$C$33,"✔ Recomendable","Valorar"))))</f>
        <v/>
      </c>
      <c r="AG259" s="68" t="str">
        <f>IF('📇 INVENTARIO'!O260="","",'📇 INVENTARIO'!O260)</f>
        <v/>
      </c>
      <c r="AH259" s="68" t="str">
        <f>IF('📇 INVENTARIO'!P260="","",'📇 INVENTARIO'!P260)</f>
        <v/>
      </c>
    </row>
    <row r="260" spans="1:34" ht="45" customHeight="1">
      <c r="A260" s="69" t="str">
        <f>IF($C260="","",RANK(O260,$O$3:$O$265,0)+COUNTIF($O$3:O260,O260)-1)</f>
        <v/>
      </c>
      <c r="B260" s="70" t="str">
        <f>IF($C260="","",IF(A260&lt;='⚙️ SUPUESTOS'!$C$29,"Fase 1",IF(A260&lt;='⚙️ SUPUESTOS'!$C$30,"Fase 2","Fase 3")))</f>
        <v/>
      </c>
      <c r="C260" s="71" t="str">
        <f>IF('📇 INVENTARIO'!B261="","",'📇 INVENTARIO'!B261)</f>
        <v/>
      </c>
      <c r="D260" s="70" t="str">
        <f>IF('📇 INVENTARIO'!C261="","",'📇 INVENTARIO'!C261)</f>
        <v/>
      </c>
      <c r="E260" s="70" t="str">
        <f>IF('📇 INVENTARIO'!D261="","",'📇 INVENTARIO'!D261)</f>
        <v/>
      </c>
      <c r="F260" s="70" t="str">
        <f>IF('📇 INVENTARIO'!F261="","",'📇 INVENTARIO'!F261)</f>
        <v/>
      </c>
      <c r="G260" s="72" t="str">
        <f>IF('📇 INVENTARIO'!G261="","",'📇 INVENTARIO'!G261)</f>
        <v/>
      </c>
      <c r="H260" s="72" t="str">
        <f>IF('📇 INVENTARIO'!H261="","",'📇 INVENTARIO'!H261)</f>
        <v/>
      </c>
      <c r="I260" s="72" t="str">
        <f>IF('📇 INVENTARIO'!I261="","",'📇 INVENTARIO'!I261)</f>
        <v/>
      </c>
      <c r="J260" s="72" t="str">
        <f>IF('📇 INVENTARIO'!J261="","",'📇 INVENTARIO'!J261)</f>
        <v/>
      </c>
      <c r="K260" s="73" t="str">
        <f>IF($C260="","",(G260-'⚙️ SUPUESTOS'!$C$20)/('⚙️ SUPUESTOS'!$C$25-'⚙️ SUPUESTOS'!$C$20))</f>
        <v/>
      </c>
      <c r="L260" s="73" t="str">
        <f>IF($C260="","",VLOOKUP($E260,'📊 SECCIONES'!$B$4:$S$9,16,FALSE()))</f>
        <v/>
      </c>
      <c r="M260" s="73" t="str">
        <f>IF($C260="","",VLOOKUP($E260,'📊 SECCIONES'!$B$4:$S$9,17,FALSE()))</f>
        <v/>
      </c>
      <c r="N260" s="73" t="str">
        <f>IF($C260="","",VLOOKUP($E260,'📊 SECCIONES'!$B$4:$S$9,18,FALSE()))</f>
        <v/>
      </c>
      <c r="O260" s="74" t="str">
        <f>IF($C260="","",ROUND('⚙️ SUPUESTOS'!$C$21*K260+'⚙️ SUPUESTOS'!$C$22*L260+'⚙️ SUPUESTOS'!$C$23*M260+'⚙️ SUPUESTOS'!$C$24*N260,4))</f>
        <v/>
      </c>
      <c r="P260" s="75" t="str">
        <f>IF($C260="","",VLOOKUP($E260,'📊 SECCIONES'!$B$4:$S$9,7,FALSE()))</f>
        <v/>
      </c>
      <c r="Q260" s="76" t="str">
        <f>IF($C260="","",VLOOKUP($E260,'📊 SECCIONES'!$B$4:$S$9,8,FALSE()))</f>
        <v/>
      </c>
      <c r="R260" s="75" t="str">
        <f>IF($C260="","",VLOOKUP($E260,'📊 SECCIONES'!$B$4:$S$9,10,FALSE()))</f>
        <v/>
      </c>
      <c r="S260" s="70" t="str">
        <f>IF('📇 INVENTARIO'!K261="","",'📇 INVENTARIO'!K261)</f>
        <v/>
      </c>
      <c r="T260" s="77" t="str">
        <f t="shared" si="16"/>
        <v/>
      </c>
      <c r="U260" s="70" t="str">
        <f t="shared" si="17"/>
        <v/>
      </c>
      <c r="V260" s="78" t="str">
        <f>IF('📇 INVENTARIO'!L261="","",'📇 INVENTARIO'!L261)</f>
        <v/>
      </c>
      <c r="W260" s="75" t="str">
        <f>IF($C260="","",V260*'⚙️ SUPUESTOS'!$C$8*'⚙️ SUPUESTOS'!$C$9)</f>
        <v/>
      </c>
      <c r="X260" s="78" t="str">
        <f>IF('📇 INVENTARIO'!N261="","",'📇 INVENTARIO'!N261)</f>
        <v/>
      </c>
      <c r="Y260" s="78" t="str">
        <f>IF($C260="","",W260*X260*'⚙️ SUPUESTOS'!$C$7)</f>
        <v/>
      </c>
      <c r="Z260" s="76" t="str">
        <f>IF($C260="","",W260*'⚙️ SUPUESTOS'!$C$10)</f>
        <v/>
      </c>
      <c r="AA260" s="76" t="str">
        <f>IF($C260="","",Y260*('⚙️ SUPUESTOS'!$C$12*'⚙️ SUPUESTOS'!$C$11+(1-'⚙️ SUPUESTOS'!$C$12)*'⚙️ SUPUESTOS'!$C$13))</f>
        <v/>
      </c>
      <c r="AB260" s="76" t="str">
        <f>IF($C260="","",IF(Y260&gt;0,ROUND(Y260*'⚙️ SUPUESTOS'!$C$12*'⚙️ SUPUESTOS'!$C$11,0),""))</f>
        <v/>
      </c>
      <c r="AC260" s="76" t="str">
        <f>IF($C260="","",IF(Y260&gt;0,ROUND(Y260*(1-'⚙️ SUPUESTOS'!$C$12)*'⚙️ SUPUESTOS'!$C$13,0),""))</f>
        <v/>
      </c>
      <c r="AD260" s="76" t="str">
        <f t="shared" si="18"/>
        <v/>
      </c>
      <c r="AE260" s="75" t="str">
        <f t="shared" si="19"/>
        <v/>
      </c>
      <c r="AF260" s="70" t="str">
        <f>IF($C260="","",IF(AE260="","—",IF(AE260&lt;='⚙️ SUPUESTOS'!$C$32,"✔ Muy recomendable",IF(AE260&lt;='⚙️ SUPUESTOS'!$C$33,"✔ Recomendable","Valorar"))))</f>
        <v/>
      </c>
      <c r="AG260" s="79" t="str">
        <f>IF('📇 INVENTARIO'!O261="","",'📇 INVENTARIO'!O261)</f>
        <v/>
      </c>
      <c r="AH260" s="79" t="str">
        <f>IF('📇 INVENTARIO'!P261="","",'📇 INVENTARIO'!P261)</f>
        <v/>
      </c>
    </row>
    <row r="261" spans="1:34" ht="45" customHeight="1">
      <c r="A261" s="58" t="str">
        <f>IF($C261="","",RANK(O261,$O$3:$O$265,0)+COUNTIF($O$3:O261,O261)-1)</f>
        <v/>
      </c>
      <c r="B261" s="59" t="str">
        <f>IF($C261="","",IF(A261&lt;='⚙️ SUPUESTOS'!$C$29,"Fase 1",IF(A261&lt;='⚙️ SUPUESTOS'!$C$30,"Fase 2","Fase 3")))</f>
        <v/>
      </c>
      <c r="C261" s="60" t="str">
        <f>IF('📇 INVENTARIO'!B262="","",'📇 INVENTARIO'!B262)</f>
        <v/>
      </c>
      <c r="D261" s="59" t="str">
        <f>IF('📇 INVENTARIO'!C262="","",'📇 INVENTARIO'!C262)</f>
        <v/>
      </c>
      <c r="E261" s="59" t="str">
        <f>IF('📇 INVENTARIO'!D262="","",'📇 INVENTARIO'!D262)</f>
        <v/>
      </c>
      <c r="F261" s="59" t="str">
        <f>IF('📇 INVENTARIO'!F262="","",'📇 INVENTARIO'!F262)</f>
        <v/>
      </c>
      <c r="G261" s="61" t="str">
        <f>IF('📇 INVENTARIO'!G262="","",'📇 INVENTARIO'!G262)</f>
        <v/>
      </c>
      <c r="H261" s="61" t="str">
        <f>IF('📇 INVENTARIO'!H262="","",'📇 INVENTARIO'!H262)</f>
        <v/>
      </c>
      <c r="I261" s="61" t="str">
        <f>IF('📇 INVENTARIO'!I262="","",'📇 INVENTARIO'!I262)</f>
        <v/>
      </c>
      <c r="J261" s="61" t="str">
        <f>IF('📇 INVENTARIO'!J262="","",'📇 INVENTARIO'!J262)</f>
        <v/>
      </c>
      <c r="K261" s="62" t="str">
        <f>IF($C261="","",(G261-'⚙️ SUPUESTOS'!$C$20)/('⚙️ SUPUESTOS'!$C$25-'⚙️ SUPUESTOS'!$C$20))</f>
        <v/>
      </c>
      <c r="L261" s="62" t="str">
        <f>IF($C261="","",VLOOKUP($E261,'📊 SECCIONES'!$B$4:$S$9,16,FALSE()))</f>
        <v/>
      </c>
      <c r="M261" s="62" t="str">
        <f>IF($C261="","",VLOOKUP($E261,'📊 SECCIONES'!$B$4:$S$9,17,FALSE()))</f>
        <v/>
      </c>
      <c r="N261" s="62" t="str">
        <f>IF($C261="","",VLOOKUP($E261,'📊 SECCIONES'!$B$4:$S$9,18,FALSE()))</f>
        <v/>
      </c>
      <c r="O261" s="63" t="str">
        <f>IF($C261="","",ROUND('⚙️ SUPUESTOS'!$C$21*K261+'⚙️ SUPUESTOS'!$C$22*L261+'⚙️ SUPUESTOS'!$C$23*M261+'⚙️ SUPUESTOS'!$C$24*N261,4))</f>
        <v/>
      </c>
      <c r="P261" s="64" t="str">
        <f>IF($C261="","",VLOOKUP($E261,'📊 SECCIONES'!$B$4:$S$9,7,FALSE()))</f>
        <v/>
      </c>
      <c r="Q261" s="65" t="str">
        <f>IF($C261="","",VLOOKUP($E261,'📊 SECCIONES'!$B$4:$S$9,8,FALSE()))</f>
        <v/>
      </c>
      <c r="R261" s="64" t="str">
        <f>IF($C261="","",VLOOKUP($E261,'📊 SECCIONES'!$B$4:$S$9,10,FALSE()))</f>
        <v/>
      </c>
      <c r="S261" s="59" t="str">
        <f>IF('📇 INVENTARIO'!K262="","",'📇 INVENTARIO'!K262)</f>
        <v/>
      </c>
      <c r="T261" s="66" t="str">
        <f t="shared" si="16"/>
        <v/>
      </c>
      <c r="U261" s="59" t="str">
        <f t="shared" si="17"/>
        <v/>
      </c>
      <c r="V261" s="67" t="str">
        <f>IF('📇 INVENTARIO'!L262="","",'📇 INVENTARIO'!L262)</f>
        <v/>
      </c>
      <c r="W261" s="64" t="str">
        <f>IF($C261="","",V261*'⚙️ SUPUESTOS'!$C$8*'⚙️ SUPUESTOS'!$C$9)</f>
        <v/>
      </c>
      <c r="X261" s="67" t="str">
        <f>IF('📇 INVENTARIO'!N262="","",'📇 INVENTARIO'!N262)</f>
        <v/>
      </c>
      <c r="Y261" s="67" t="str">
        <f>IF($C261="","",W261*X261*'⚙️ SUPUESTOS'!$C$7)</f>
        <v/>
      </c>
      <c r="Z261" s="65" t="str">
        <f>IF($C261="","",W261*'⚙️ SUPUESTOS'!$C$10)</f>
        <v/>
      </c>
      <c r="AA261" s="65" t="str">
        <f>IF($C261="","",Y261*('⚙️ SUPUESTOS'!$C$12*'⚙️ SUPUESTOS'!$C$11+(1-'⚙️ SUPUESTOS'!$C$12)*'⚙️ SUPUESTOS'!$C$13))</f>
        <v/>
      </c>
      <c r="AB261" s="65" t="str">
        <f>IF($C261="","",IF(Y261&gt;0,ROUND(Y261*'⚙️ SUPUESTOS'!$C$12*'⚙️ SUPUESTOS'!$C$11,0),""))</f>
        <v/>
      </c>
      <c r="AC261" s="65" t="str">
        <f>IF($C261="","",IF(Y261&gt;0,ROUND(Y261*(1-'⚙️ SUPUESTOS'!$C$12)*'⚙️ SUPUESTOS'!$C$13,0),""))</f>
        <v/>
      </c>
      <c r="AD261" s="65" t="str">
        <f t="shared" si="18"/>
        <v/>
      </c>
      <c r="AE261" s="64" t="str">
        <f t="shared" si="19"/>
        <v/>
      </c>
      <c r="AF261" s="59" t="str">
        <f>IF($C261="","",IF(AE261="","—",IF(AE261&lt;='⚙️ SUPUESTOS'!$C$32,"✔ Muy recomendable",IF(AE261&lt;='⚙️ SUPUESTOS'!$C$33,"✔ Recomendable","Valorar"))))</f>
        <v/>
      </c>
      <c r="AG261" s="68" t="str">
        <f>IF('📇 INVENTARIO'!O262="","",'📇 INVENTARIO'!O262)</f>
        <v/>
      </c>
      <c r="AH261" s="68" t="str">
        <f>IF('📇 INVENTARIO'!P262="","",'📇 INVENTARIO'!P262)</f>
        <v/>
      </c>
    </row>
    <row r="262" spans="1:34" ht="45" customHeight="1">
      <c r="A262" s="69" t="str">
        <f>IF($C262="","",RANK(O262,$O$3:$O$265,0)+COUNTIF($O$3:O262,O262)-1)</f>
        <v/>
      </c>
      <c r="B262" s="70" t="str">
        <f>IF($C262="","",IF(A262&lt;='⚙️ SUPUESTOS'!$C$29,"Fase 1",IF(A262&lt;='⚙️ SUPUESTOS'!$C$30,"Fase 2","Fase 3")))</f>
        <v/>
      </c>
      <c r="C262" s="71" t="str">
        <f>IF('📇 INVENTARIO'!B263="","",'📇 INVENTARIO'!B263)</f>
        <v/>
      </c>
      <c r="D262" s="70" t="str">
        <f>IF('📇 INVENTARIO'!C263="","",'📇 INVENTARIO'!C263)</f>
        <v/>
      </c>
      <c r="E262" s="70" t="str">
        <f>IF('📇 INVENTARIO'!D263="","",'📇 INVENTARIO'!D263)</f>
        <v/>
      </c>
      <c r="F262" s="70" t="str">
        <f>IF('📇 INVENTARIO'!F263="","",'📇 INVENTARIO'!F263)</f>
        <v/>
      </c>
      <c r="G262" s="72" t="str">
        <f>IF('📇 INVENTARIO'!G263="","",'📇 INVENTARIO'!G263)</f>
        <v/>
      </c>
      <c r="H262" s="72" t="str">
        <f>IF('📇 INVENTARIO'!H263="","",'📇 INVENTARIO'!H263)</f>
        <v/>
      </c>
      <c r="I262" s="72" t="str">
        <f>IF('📇 INVENTARIO'!I263="","",'📇 INVENTARIO'!I263)</f>
        <v/>
      </c>
      <c r="J262" s="72" t="str">
        <f>IF('📇 INVENTARIO'!J263="","",'📇 INVENTARIO'!J263)</f>
        <v/>
      </c>
      <c r="K262" s="73" t="str">
        <f>IF($C262="","",(G262-'⚙️ SUPUESTOS'!$C$20)/('⚙️ SUPUESTOS'!$C$25-'⚙️ SUPUESTOS'!$C$20))</f>
        <v/>
      </c>
      <c r="L262" s="73" t="str">
        <f>IF($C262="","",VLOOKUP($E262,'📊 SECCIONES'!$B$4:$S$9,16,FALSE()))</f>
        <v/>
      </c>
      <c r="M262" s="73" t="str">
        <f>IF($C262="","",VLOOKUP($E262,'📊 SECCIONES'!$B$4:$S$9,17,FALSE()))</f>
        <v/>
      </c>
      <c r="N262" s="73" t="str">
        <f>IF($C262="","",VLOOKUP($E262,'📊 SECCIONES'!$B$4:$S$9,18,FALSE()))</f>
        <v/>
      </c>
      <c r="O262" s="74" t="str">
        <f>IF($C262="","",ROUND('⚙️ SUPUESTOS'!$C$21*K262+'⚙️ SUPUESTOS'!$C$22*L262+'⚙️ SUPUESTOS'!$C$23*M262+'⚙️ SUPUESTOS'!$C$24*N262,4))</f>
        <v/>
      </c>
      <c r="P262" s="75" t="str">
        <f>IF($C262="","",VLOOKUP($E262,'📊 SECCIONES'!$B$4:$S$9,7,FALSE()))</f>
        <v/>
      </c>
      <c r="Q262" s="76" t="str">
        <f>IF($C262="","",VLOOKUP($E262,'📊 SECCIONES'!$B$4:$S$9,8,FALSE()))</f>
        <v/>
      </c>
      <c r="R262" s="75" t="str">
        <f>IF($C262="","",VLOOKUP($E262,'📊 SECCIONES'!$B$4:$S$9,10,FALSE()))</f>
        <v/>
      </c>
      <c r="S262" s="70" t="str">
        <f>IF('📇 INVENTARIO'!K263="","",'📇 INVENTARIO'!K263)</f>
        <v/>
      </c>
      <c r="T262" s="77" t="str">
        <f t="shared" si="16"/>
        <v/>
      </c>
      <c r="U262" s="70" t="str">
        <f t="shared" si="17"/>
        <v/>
      </c>
      <c r="V262" s="78" t="str">
        <f>IF('📇 INVENTARIO'!L263="","",'📇 INVENTARIO'!L263)</f>
        <v/>
      </c>
      <c r="W262" s="75" t="str">
        <f>IF($C262="","",V262*'⚙️ SUPUESTOS'!$C$8*'⚙️ SUPUESTOS'!$C$9)</f>
        <v/>
      </c>
      <c r="X262" s="78" t="str">
        <f>IF('📇 INVENTARIO'!N263="","",'📇 INVENTARIO'!N263)</f>
        <v/>
      </c>
      <c r="Y262" s="78" t="str">
        <f>IF($C262="","",W262*X262*'⚙️ SUPUESTOS'!$C$7)</f>
        <v/>
      </c>
      <c r="Z262" s="76" t="str">
        <f>IF($C262="","",W262*'⚙️ SUPUESTOS'!$C$10)</f>
        <v/>
      </c>
      <c r="AA262" s="76" t="str">
        <f>IF($C262="","",Y262*('⚙️ SUPUESTOS'!$C$12*'⚙️ SUPUESTOS'!$C$11+(1-'⚙️ SUPUESTOS'!$C$12)*'⚙️ SUPUESTOS'!$C$13))</f>
        <v/>
      </c>
      <c r="AB262" s="76" t="str">
        <f>IF($C262="","",IF(Y262&gt;0,ROUND(Y262*'⚙️ SUPUESTOS'!$C$12*'⚙️ SUPUESTOS'!$C$11,0),""))</f>
        <v/>
      </c>
      <c r="AC262" s="76" t="str">
        <f>IF($C262="","",IF(Y262&gt;0,ROUND(Y262*(1-'⚙️ SUPUESTOS'!$C$12)*'⚙️ SUPUESTOS'!$C$13,0),""))</f>
        <v/>
      </c>
      <c r="AD262" s="76" t="str">
        <f t="shared" si="18"/>
        <v/>
      </c>
      <c r="AE262" s="75" t="str">
        <f t="shared" si="19"/>
        <v/>
      </c>
      <c r="AF262" s="70" t="str">
        <f>IF($C262="","",IF(AE262="","—",IF(AE262&lt;='⚙️ SUPUESTOS'!$C$32,"✔ Muy recomendable",IF(AE262&lt;='⚙️ SUPUESTOS'!$C$33,"✔ Recomendable","Valorar"))))</f>
        <v/>
      </c>
      <c r="AG262" s="79" t="str">
        <f>IF('📇 INVENTARIO'!O263="","",'📇 INVENTARIO'!O263)</f>
        <v/>
      </c>
      <c r="AH262" s="79" t="str">
        <f>IF('📇 INVENTARIO'!P263="","",'📇 INVENTARIO'!P263)</f>
        <v/>
      </c>
    </row>
    <row r="263" spans="1:34" ht="45" customHeight="1">
      <c r="A263" s="58" t="str">
        <f>IF($C263="","",RANK(O263,$O$3:$O$265,0)+COUNTIF($O$3:O263,O263)-1)</f>
        <v/>
      </c>
      <c r="B263" s="59" t="str">
        <f>IF($C263="","",IF(A263&lt;='⚙️ SUPUESTOS'!$C$29,"Fase 1",IF(A263&lt;='⚙️ SUPUESTOS'!$C$30,"Fase 2","Fase 3")))</f>
        <v/>
      </c>
      <c r="C263" s="60" t="str">
        <f>IF('📇 INVENTARIO'!B264="","",'📇 INVENTARIO'!B264)</f>
        <v/>
      </c>
      <c r="D263" s="59" t="str">
        <f>IF('📇 INVENTARIO'!C264="","",'📇 INVENTARIO'!C264)</f>
        <v/>
      </c>
      <c r="E263" s="59" t="str">
        <f>IF('📇 INVENTARIO'!D264="","",'📇 INVENTARIO'!D264)</f>
        <v/>
      </c>
      <c r="F263" s="59" t="str">
        <f>IF('📇 INVENTARIO'!F264="","",'📇 INVENTARIO'!F264)</f>
        <v/>
      </c>
      <c r="G263" s="61" t="str">
        <f>IF('📇 INVENTARIO'!G264="","",'📇 INVENTARIO'!G264)</f>
        <v/>
      </c>
      <c r="H263" s="61" t="str">
        <f>IF('📇 INVENTARIO'!H264="","",'📇 INVENTARIO'!H264)</f>
        <v/>
      </c>
      <c r="I263" s="61" t="str">
        <f>IF('📇 INVENTARIO'!I264="","",'📇 INVENTARIO'!I264)</f>
        <v/>
      </c>
      <c r="J263" s="61" t="str">
        <f>IF('📇 INVENTARIO'!J264="","",'📇 INVENTARIO'!J264)</f>
        <v/>
      </c>
      <c r="K263" s="62" t="str">
        <f>IF($C263="","",(G263-'⚙️ SUPUESTOS'!$C$20)/('⚙️ SUPUESTOS'!$C$25-'⚙️ SUPUESTOS'!$C$20))</f>
        <v/>
      </c>
      <c r="L263" s="62" t="str">
        <f>IF($C263="","",VLOOKUP($E263,'📊 SECCIONES'!$B$4:$S$9,16,FALSE()))</f>
        <v/>
      </c>
      <c r="M263" s="62" t="str">
        <f>IF($C263="","",VLOOKUP($E263,'📊 SECCIONES'!$B$4:$S$9,17,FALSE()))</f>
        <v/>
      </c>
      <c r="N263" s="62" t="str">
        <f>IF($C263="","",VLOOKUP($E263,'📊 SECCIONES'!$B$4:$S$9,18,FALSE()))</f>
        <v/>
      </c>
      <c r="O263" s="63" t="str">
        <f>IF($C263="","",ROUND('⚙️ SUPUESTOS'!$C$21*K263+'⚙️ SUPUESTOS'!$C$22*L263+'⚙️ SUPUESTOS'!$C$23*M263+'⚙️ SUPUESTOS'!$C$24*N263,4))</f>
        <v/>
      </c>
      <c r="P263" s="64" t="str">
        <f>IF($C263="","",VLOOKUP($E263,'📊 SECCIONES'!$B$4:$S$9,7,FALSE()))</f>
        <v/>
      </c>
      <c r="Q263" s="65" t="str">
        <f>IF($C263="","",VLOOKUP($E263,'📊 SECCIONES'!$B$4:$S$9,8,FALSE()))</f>
        <v/>
      </c>
      <c r="R263" s="64" t="str">
        <f>IF($C263="","",VLOOKUP($E263,'📊 SECCIONES'!$B$4:$S$9,10,FALSE()))</f>
        <v/>
      </c>
      <c r="S263" s="59" t="str">
        <f>IF('📇 INVENTARIO'!K264="","",'📇 INVENTARIO'!K264)</f>
        <v/>
      </c>
      <c r="T263" s="66" t="str">
        <f t="shared" si="16"/>
        <v/>
      </c>
      <c r="U263" s="59" t="str">
        <f t="shared" si="17"/>
        <v/>
      </c>
      <c r="V263" s="67" t="str">
        <f>IF('📇 INVENTARIO'!L264="","",'📇 INVENTARIO'!L264)</f>
        <v/>
      </c>
      <c r="W263" s="64" t="str">
        <f>IF($C263="","",V263*'⚙️ SUPUESTOS'!$C$8*'⚙️ SUPUESTOS'!$C$9)</f>
        <v/>
      </c>
      <c r="X263" s="67" t="str">
        <f>IF('📇 INVENTARIO'!N264="","",'📇 INVENTARIO'!N264)</f>
        <v/>
      </c>
      <c r="Y263" s="67" t="str">
        <f>IF($C263="","",W263*X263*'⚙️ SUPUESTOS'!$C$7)</f>
        <v/>
      </c>
      <c r="Z263" s="65" t="str">
        <f>IF($C263="","",W263*'⚙️ SUPUESTOS'!$C$10)</f>
        <v/>
      </c>
      <c r="AA263" s="65" t="str">
        <f>IF($C263="","",Y263*('⚙️ SUPUESTOS'!$C$12*'⚙️ SUPUESTOS'!$C$11+(1-'⚙️ SUPUESTOS'!$C$12)*'⚙️ SUPUESTOS'!$C$13))</f>
        <v/>
      </c>
      <c r="AB263" s="65" t="str">
        <f>IF($C263="","",IF(Y263&gt;0,ROUND(Y263*'⚙️ SUPUESTOS'!$C$12*'⚙️ SUPUESTOS'!$C$11,0),""))</f>
        <v/>
      </c>
      <c r="AC263" s="65" t="str">
        <f>IF($C263="","",IF(Y263&gt;0,ROUND(Y263*(1-'⚙️ SUPUESTOS'!$C$12)*'⚙️ SUPUESTOS'!$C$13,0),""))</f>
        <v/>
      </c>
      <c r="AD263" s="65" t="str">
        <f t="shared" si="18"/>
        <v/>
      </c>
      <c r="AE263" s="64" t="str">
        <f t="shared" si="19"/>
        <v/>
      </c>
      <c r="AF263" s="59" t="str">
        <f>IF($C263="","",IF(AE263="","—",IF(AE263&lt;='⚙️ SUPUESTOS'!$C$32,"✔ Muy recomendable",IF(AE263&lt;='⚙️ SUPUESTOS'!$C$33,"✔ Recomendable","Valorar"))))</f>
        <v/>
      </c>
      <c r="AG263" s="68" t="str">
        <f>IF('📇 INVENTARIO'!O264="","",'📇 INVENTARIO'!O264)</f>
        <v/>
      </c>
      <c r="AH263" s="68" t="str">
        <f>IF('📇 INVENTARIO'!P264="","",'📇 INVENTARIO'!P264)</f>
        <v/>
      </c>
    </row>
    <row r="264" spans="1:34" ht="45" customHeight="1">
      <c r="A264" s="69" t="str">
        <f>IF($C264="","",RANK(O264,$O$3:$O$265,0)+COUNTIF($O$3:O264,O264)-1)</f>
        <v/>
      </c>
      <c r="B264" s="70" t="str">
        <f>IF($C264="","",IF(A264&lt;='⚙️ SUPUESTOS'!$C$29,"Fase 1",IF(A264&lt;='⚙️ SUPUESTOS'!$C$30,"Fase 2","Fase 3")))</f>
        <v/>
      </c>
      <c r="C264" s="71" t="str">
        <f>IF('📇 INVENTARIO'!B265="","",'📇 INVENTARIO'!B265)</f>
        <v/>
      </c>
      <c r="D264" s="70" t="str">
        <f>IF('📇 INVENTARIO'!C265="","",'📇 INVENTARIO'!C265)</f>
        <v/>
      </c>
      <c r="E264" s="70" t="str">
        <f>IF('📇 INVENTARIO'!D265="","",'📇 INVENTARIO'!D265)</f>
        <v/>
      </c>
      <c r="F264" s="70" t="str">
        <f>IF('📇 INVENTARIO'!F265="","",'📇 INVENTARIO'!F265)</f>
        <v/>
      </c>
      <c r="G264" s="72" t="str">
        <f>IF('📇 INVENTARIO'!G265="","",'📇 INVENTARIO'!G265)</f>
        <v/>
      </c>
      <c r="H264" s="72" t="str">
        <f>IF('📇 INVENTARIO'!H265="","",'📇 INVENTARIO'!H265)</f>
        <v/>
      </c>
      <c r="I264" s="72" t="str">
        <f>IF('📇 INVENTARIO'!I265="","",'📇 INVENTARIO'!I265)</f>
        <v/>
      </c>
      <c r="J264" s="72" t="str">
        <f>IF('📇 INVENTARIO'!J265="","",'📇 INVENTARIO'!J265)</f>
        <v/>
      </c>
      <c r="K264" s="73" t="str">
        <f>IF($C264="","",(G264-'⚙️ SUPUESTOS'!$C$20)/('⚙️ SUPUESTOS'!$C$25-'⚙️ SUPUESTOS'!$C$20))</f>
        <v/>
      </c>
      <c r="L264" s="73" t="str">
        <f>IF($C264="","",VLOOKUP($E264,'📊 SECCIONES'!$B$4:$S$9,16,FALSE()))</f>
        <v/>
      </c>
      <c r="M264" s="73" t="str">
        <f>IF($C264="","",VLOOKUP($E264,'📊 SECCIONES'!$B$4:$S$9,17,FALSE()))</f>
        <v/>
      </c>
      <c r="N264" s="73" t="str">
        <f>IF($C264="","",VLOOKUP($E264,'📊 SECCIONES'!$B$4:$S$9,18,FALSE()))</f>
        <v/>
      </c>
      <c r="O264" s="74" t="str">
        <f>IF($C264="","",ROUND('⚙️ SUPUESTOS'!$C$21*K264+'⚙️ SUPUESTOS'!$C$22*L264+'⚙️ SUPUESTOS'!$C$23*M264+'⚙️ SUPUESTOS'!$C$24*N264,4))</f>
        <v/>
      </c>
      <c r="P264" s="75" t="str">
        <f>IF($C264="","",VLOOKUP($E264,'📊 SECCIONES'!$B$4:$S$9,7,FALSE()))</f>
        <v/>
      </c>
      <c r="Q264" s="76" t="str">
        <f>IF($C264="","",VLOOKUP($E264,'📊 SECCIONES'!$B$4:$S$9,8,FALSE()))</f>
        <v/>
      </c>
      <c r="R264" s="75" t="str">
        <f>IF($C264="","",VLOOKUP($E264,'📊 SECCIONES'!$B$4:$S$9,10,FALSE()))</f>
        <v/>
      </c>
      <c r="S264" s="70" t="str">
        <f>IF('📇 INVENTARIO'!K265="","",'📇 INVENTARIO'!K265)</f>
        <v/>
      </c>
      <c r="T264" s="77" t="str">
        <f t="shared" si="16"/>
        <v/>
      </c>
      <c r="U264" s="70" t="str">
        <f t="shared" si="17"/>
        <v/>
      </c>
      <c r="V264" s="78" t="str">
        <f>IF('📇 INVENTARIO'!L265="","",'📇 INVENTARIO'!L265)</f>
        <v/>
      </c>
      <c r="W264" s="75" t="str">
        <f>IF($C264="","",V264*'⚙️ SUPUESTOS'!$C$8*'⚙️ SUPUESTOS'!$C$9)</f>
        <v/>
      </c>
      <c r="X264" s="78" t="str">
        <f>IF('📇 INVENTARIO'!N265="","",'📇 INVENTARIO'!N265)</f>
        <v/>
      </c>
      <c r="Y264" s="78" t="str">
        <f>IF($C264="","",W264*X264*'⚙️ SUPUESTOS'!$C$7)</f>
        <v/>
      </c>
      <c r="Z264" s="76" t="str">
        <f>IF($C264="","",W264*'⚙️ SUPUESTOS'!$C$10)</f>
        <v/>
      </c>
      <c r="AA264" s="76" t="str">
        <f>IF($C264="","",Y264*('⚙️ SUPUESTOS'!$C$12*'⚙️ SUPUESTOS'!$C$11+(1-'⚙️ SUPUESTOS'!$C$12)*'⚙️ SUPUESTOS'!$C$13))</f>
        <v/>
      </c>
      <c r="AB264" s="76" t="str">
        <f>IF($C264="","",IF(Y264&gt;0,ROUND(Y264*'⚙️ SUPUESTOS'!$C$12*'⚙️ SUPUESTOS'!$C$11,0),""))</f>
        <v/>
      </c>
      <c r="AC264" s="76" t="str">
        <f>IF($C264="","",IF(Y264&gt;0,ROUND(Y264*(1-'⚙️ SUPUESTOS'!$C$12)*'⚙️ SUPUESTOS'!$C$13,0),""))</f>
        <v/>
      </c>
      <c r="AD264" s="76" t="str">
        <f t="shared" si="18"/>
        <v/>
      </c>
      <c r="AE264" s="75" t="str">
        <f t="shared" si="19"/>
        <v/>
      </c>
      <c r="AF264" s="70" t="str">
        <f>IF($C264="","",IF(AE264="","—",IF(AE264&lt;='⚙️ SUPUESTOS'!$C$32,"✔ Muy recomendable",IF(AE264&lt;='⚙️ SUPUESTOS'!$C$33,"✔ Recomendable","Valorar"))))</f>
        <v/>
      </c>
      <c r="AG264" s="79" t="str">
        <f>IF('📇 INVENTARIO'!O265="","",'📇 INVENTARIO'!O265)</f>
        <v/>
      </c>
      <c r="AH264" s="79" t="str">
        <f>IF('📇 INVENTARIO'!P265="","",'📇 INVENTARIO'!P265)</f>
        <v/>
      </c>
    </row>
    <row r="265" spans="1:34" ht="45" customHeight="1">
      <c r="A265" s="58" t="str">
        <f>IF($C265="","",RANK(O265,$O$3:$O$265,0)+COUNTIF($O$3:O265,O265)-1)</f>
        <v/>
      </c>
      <c r="B265" s="59" t="str">
        <f>IF($C265="","",IF(A265&lt;='⚙️ SUPUESTOS'!$C$29,"Fase 1",IF(A265&lt;='⚙️ SUPUESTOS'!$C$30,"Fase 2","Fase 3")))</f>
        <v/>
      </c>
      <c r="C265" s="60" t="str">
        <f>IF('📇 INVENTARIO'!B266="","",'📇 INVENTARIO'!B266)</f>
        <v/>
      </c>
      <c r="D265" s="59" t="str">
        <f>IF('📇 INVENTARIO'!C266="","",'📇 INVENTARIO'!C266)</f>
        <v/>
      </c>
      <c r="E265" s="59" t="str">
        <f>IF('📇 INVENTARIO'!D266="","",'📇 INVENTARIO'!D266)</f>
        <v/>
      </c>
      <c r="F265" s="59" t="str">
        <f>IF('📇 INVENTARIO'!F266="","",'📇 INVENTARIO'!F266)</f>
        <v/>
      </c>
      <c r="G265" s="61" t="str">
        <f>IF('📇 INVENTARIO'!G266="","",'📇 INVENTARIO'!G266)</f>
        <v/>
      </c>
      <c r="H265" s="61" t="str">
        <f>IF('📇 INVENTARIO'!H266="","",'📇 INVENTARIO'!H266)</f>
        <v/>
      </c>
      <c r="I265" s="61" t="str">
        <f>IF('📇 INVENTARIO'!I266="","",'📇 INVENTARIO'!I266)</f>
        <v/>
      </c>
      <c r="J265" s="61" t="str">
        <f>IF('📇 INVENTARIO'!J266="","",'📇 INVENTARIO'!J266)</f>
        <v/>
      </c>
      <c r="K265" s="62" t="str">
        <f>IF($C265="","",(G265-'⚙️ SUPUESTOS'!$C$20)/('⚙️ SUPUESTOS'!$C$25-'⚙️ SUPUESTOS'!$C$20))</f>
        <v/>
      </c>
      <c r="L265" s="62" t="str">
        <f>IF($C265="","",VLOOKUP($E265,'📊 SECCIONES'!$B$4:$S$9,16,FALSE()))</f>
        <v/>
      </c>
      <c r="M265" s="62" t="str">
        <f>IF($C265="","",VLOOKUP($E265,'📊 SECCIONES'!$B$4:$S$9,17,FALSE()))</f>
        <v/>
      </c>
      <c r="N265" s="62" t="str">
        <f>IF($C265="","",VLOOKUP($E265,'📊 SECCIONES'!$B$4:$S$9,18,FALSE()))</f>
        <v/>
      </c>
      <c r="O265" s="63" t="str">
        <f>IF($C265="","",ROUND('⚙️ SUPUESTOS'!$C$21*K265+'⚙️ SUPUESTOS'!$C$22*L265+'⚙️ SUPUESTOS'!$C$23*M265+'⚙️ SUPUESTOS'!$C$24*N265,4))</f>
        <v/>
      </c>
      <c r="P265" s="64" t="str">
        <f>IF($C265="","",VLOOKUP($E265,'📊 SECCIONES'!$B$4:$S$9,7,FALSE()))</f>
        <v/>
      </c>
      <c r="Q265" s="65" t="str">
        <f>IF($C265="","",VLOOKUP($E265,'📊 SECCIONES'!$B$4:$S$9,8,FALSE()))</f>
        <v/>
      </c>
      <c r="R265" s="64" t="str">
        <f>IF($C265="","",VLOOKUP($E265,'📊 SECCIONES'!$B$4:$S$9,10,FALSE()))</f>
        <v/>
      </c>
      <c r="S265" s="59" t="str">
        <f>IF('📇 INVENTARIO'!K266="","",'📇 INVENTARIO'!K266)</f>
        <v/>
      </c>
      <c r="T265" s="66" t="str">
        <f t="shared" si="16"/>
        <v/>
      </c>
      <c r="U265" s="59" t="str">
        <f t="shared" si="17"/>
        <v/>
      </c>
      <c r="V265" s="67" t="str">
        <f>IF('📇 INVENTARIO'!L266="","",'📇 INVENTARIO'!L266)</f>
        <v/>
      </c>
      <c r="W265" s="64" t="str">
        <f>IF($C265="","",V265*'⚙️ SUPUESTOS'!$C$8*'⚙️ SUPUESTOS'!$C$9)</f>
        <v/>
      </c>
      <c r="X265" s="67" t="str">
        <f>IF('📇 INVENTARIO'!N266="","",'📇 INVENTARIO'!N266)</f>
        <v/>
      </c>
      <c r="Y265" s="67" t="str">
        <f>IF($C265="","",W265*X265*'⚙️ SUPUESTOS'!$C$7)</f>
        <v/>
      </c>
      <c r="Z265" s="65" t="str">
        <f>IF($C265="","",W265*'⚙️ SUPUESTOS'!$C$10)</f>
        <v/>
      </c>
      <c r="AA265" s="65" t="str">
        <f>IF($C265="","",Y265*('⚙️ SUPUESTOS'!$C$12*'⚙️ SUPUESTOS'!$C$11+(1-'⚙️ SUPUESTOS'!$C$12)*'⚙️ SUPUESTOS'!$C$13))</f>
        <v/>
      </c>
      <c r="AB265" s="65" t="str">
        <f>IF($C265="","",IF(Y265&gt;0,ROUND(Y265*'⚙️ SUPUESTOS'!$C$12*'⚙️ SUPUESTOS'!$C$11,0),""))</f>
        <v/>
      </c>
      <c r="AC265" s="65" t="str">
        <f>IF($C265="","",IF(Y265&gt;0,ROUND(Y265*(1-'⚙️ SUPUESTOS'!$C$12)*'⚙️ SUPUESTOS'!$C$13,0),""))</f>
        <v/>
      </c>
      <c r="AD265" s="65" t="str">
        <f t="shared" si="18"/>
        <v/>
      </c>
      <c r="AE265" s="64" t="str">
        <f t="shared" si="19"/>
        <v/>
      </c>
      <c r="AF265" s="59" t="str">
        <f>IF($C265="","",IF(AE265="","—",IF(AE265&lt;='⚙️ SUPUESTOS'!$C$32,"✔ Muy recomendable",IF(AE265&lt;='⚙️ SUPUESTOS'!$C$33,"✔ Recomendable","Valorar"))))</f>
        <v/>
      </c>
      <c r="AG265" s="68" t="str">
        <f>IF('📇 INVENTARIO'!O266="","",'📇 INVENTARIO'!O266)</f>
        <v/>
      </c>
      <c r="AH265" s="68" t="str">
        <f>IF('📇 INVENTARIO'!P266="","",'📇 INVENTARIO'!P266)</f>
        <v/>
      </c>
    </row>
  </sheetData>
  <autoFilter ref="A2:AC216" xr:uid="{00000000-0009-0000-0000-000003000000}">
    <sortState xmlns:xlrd2="http://schemas.microsoft.com/office/spreadsheetml/2017/richdata2" ref="A3:AC265">
      <sortCondition ref="A2:A216"/>
    </sortState>
  </autoFilter>
  <mergeCells count="7">
    <mergeCell ref="V1:AF1"/>
    <mergeCell ref="AG1:AH1"/>
    <mergeCell ref="A1:E1"/>
    <mergeCell ref="F1:J1"/>
    <mergeCell ref="K1:O1"/>
    <mergeCell ref="P1:R1"/>
    <mergeCell ref="T1:U1"/>
  </mergeCells>
  <conditionalFormatting sqref="B3:B216">
    <cfRule type="cellIs" dxfId="15" priority="3" operator="equal">
      <formula>"Fase 1"</formula>
    </cfRule>
    <cfRule type="cellIs" dxfId="14" priority="4" operator="equal">
      <formula>"Fase 2"</formula>
    </cfRule>
    <cfRule type="cellIs" dxfId="13" priority="5" operator="equal">
      <formula>"Fase 3"</formula>
    </cfRule>
  </conditionalFormatting>
  <conditionalFormatting sqref="B3:B265">
    <cfRule type="cellIs" dxfId="12" priority="15" operator="equal">
      <formula>"Fase 1"</formula>
    </cfRule>
    <cfRule type="cellIs" dxfId="11" priority="16" operator="equal">
      <formula>"Fase 2"</formula>
    </cfRule>
    <cfRule type="cellIs" dxfId="10" priority="17" operator="equal">
      <formula>"Fase 3"</formula>
    </cfRule>
  </conditionalFormatting>
  <conditionalFormatting sqref="F3:F265">
    <cfRule type="cellIs" dxfId="9" priority="18" operator="equal">
      <formula>"G"</formula>
    </cfRule>
    <cfRule type="cellIs" dxfId="8" priority="19" operator="equal">
      <formula>"F"</formula>
    </cfRule>
    <cfRule type="cellIs" dxfId="7" priority="20" operator="equal">
      <formula>"E"</formula>
    </cfRule>
    <cfRule type="cellIs" dxfId="6" priority="21" operator="equal">
      <formula>"D"</formula>
    </cfRule>
    <cfRule type="cellIs" dxfId="5" priority="22" operator="equal">
      <formula>"C"</formula>
    </cfRule>
    <cfRule type="cellIs" dxfId="4" priority="23" operator="equal">
      <formula>"B"</formula>
    </cfRule>
    <cfRule type="cellIs" dxfId="3" priority="24" operator="equal">
      <formula>"A"</formula>
    </cfRule>
  </conditionalFormatting>
  <conditionalFormatting sqref="G3:G216">
    <cfRule type="dataBar" priority="6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{20DC3DDC-80AF-42BB-BEEF-008141D97C9D}</x14:id>
        </ext>
      </extLst>
    </cfRule>
  </conditionalFormatting>
  <conditionalFormatting sqref="H3:H216">
    <cfRule type="dataBar" priority="7">
      <dataBar>
        <cfvo type="min"/>
        <cfvo type="max"/>
        <color rgb="FFD7BDE2"/>
      </dataBar>
      <extLst>
        <ext xmlns:x14="http://schemas.microsoft.com/office/spreadsheetml/2009/9/main" uri="{B025F937-C7B1-47D3-B67F-A62EFF666E3E}">
          <x14:id>{9FE98EA5-139A-419C-9963-9A55DCE35BE0}</x14:id>
        </ext>
      </extLst>
    </cfRule>
  </conditionalFormatting>
  <conditionalFormatting sqref="O3:O216">
    <cfRule type="colorScale" priority="2">
      <colorScale>
        <cfvo type="min"/>
        <cfvo type="max"/>
        <color rgb="FFFFFFFF"/>
        <color rgb="FFE6A6A0"/>
      </colorScale>
    </cfRule>
  </conditionalFormatting>
  <conditionalFormatting sqref="Y3:Y216">
    <cfRule type="dataBar" priority="8">
      <dataBar>
        <cfvo type="min"/>
        <cfvo type="max"/>
        <color rgb="FFF5B041"/>
      </dataBar>
      <extLst>
        <ext xmlns:x14="http://schemas.microsoft.com/office/spreadsheetml/2009/9/main" uri="{B025F937-C7B1-47D3-B67F-A62EFF666E3E}">
          <x14:id>{2D9D84AC-3811-4C5D-BE21-F2E937795A7F}</x14:id>
        </ext>
      </extLst>
    </cfRule>
  </conditionalFormatting>
  <conditionalFormatting sqref="Z3:Z216">
    <cfRule type="dataBar" priority="9">
      <dataBar>
        <cfvo type="min"/>
        <cfvo type="max"/>
        <color rgb="FFD7BDE2"/>
      </dataBar>
      <extLst>
        <ext xmlns:x14="http://schemas.microsoft.com/office/spreadsheetml/2009/9/main" uri="{B025F937-C7B1-47D3-B67F-A62EFF666E3E}">
          <x14:id>{4841B898-A379-4BA0-8175-74A28F9DFFD2}</x14:id>
        </ext>
      </extLst>
    </cfRule>
  </conditionalFormatting>
  <conditionalFormatting sqref="AA3:AA216">
    <cfRule type="dataBar" priority="10">
      <dataBar>
        <cfvo type="min"/>
        <cfvo type="max"/>
        <color rgb="FFF7DC6F"/>
      </dataBar>
      <extLst>
        <ext xmlns:x14="http://schemas.microsoft.com/office/spreadsheetml/2009/9/main" uri="{B025F937-C7B1-47D3-B67F-A62EFF666E3E}">
          <x14:id>{E04AE450-E4B1-4980-8131-D1829C5E70E9}</x14:id>
        </ext>
      </extLst>
    </cfRule>
  </conditionalFormatting>
  <conditionalFormatting sqref="AE3:AE2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:AF216">
    <cfRule type="expression" dxfId="2" priority="12">
      <formula>ISNUMBER(SEARCH("Muy",AF3))</formula>
    </cfRule>
    <cfRule type="expression" dxfId="1" priority="13">
      <formula>EXACT(AF3,"✔ Recomendable")</formula>
    </cfRule>
    <cfRule type="expression" dxfId="0" priority="14">
      <formula>EXACT(AF3,"Valorar")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DC3DDC-80AF-42BB-BEEF-008141D97C9D}">
            <x14:dataBar axisPosition="none">
              <x14:cfvo type="min"/>
              <x14:cfvo type="max"/>
              <x14:negativeFillColor rgb="FF9DC3E6"/>
            </x14:dataBar>
          </x14:cfRule>
          <xm:sqref>G3:G216</xm:sqref>
        </x14:conditionalFormatting>
        <x14:conditionalFormatting xmlns:xm="http://schemas.microsoft.com/office/excel/2006/main">
          <x14:cfRule type="dataBar" id="{9FE98EA5-139A-419C-9963-9A55DCE35BE0}">
            <x14:dataBar axisPosition="none">
              <x14:cfvo type="min"/>
              <x14:cfvo type="max"/>
              <x14:negativeFillColor rgb="FFD7BDE2"/>
            </x14:dataBar>
          </x14:cfRule>
          <xm:sqref>H3:H216</xm:sqref>
        </x14:conditionalFormatting>
        <x14:conditionalFormatting xmlns:xm="http://schemas.microsoft.com/office/excel/2006/main">
          <x14:cfRule type="dataBar" id="{2D9D84AC-3811-4C5D-BE21-F2E937795A7F}">
            <x14:dataBar axisPosition="none">
              <x14:cfvo type="min"/>
              <x14:cfvo type="max"/>
              <x14:negativeFillColor rgb="FFF5B041"/>
            </x14:dataBar>
          </x14:cfRule>
          <xm:sqref>Y3:Y216</xm:sqref>
        </x14:conditionalFormatting>
        <x14:conditionalFormatting xmlns:xm="http://schemas.microsoft.com/office/excel/2006/main">
          <x14:cfRule type="dataBar" id="{4841B898-A379-4BA0-8175-74A28F9DFFD2}">
            <x14:dataBar axisPosition="none">
              <x14:cfvo type="min"/>
              <x14:cfvo type="max"/>
              <x14:negativeFillColor rgb="FFD7BDE2"/>
            </x14:dataBar>
          </x14:cfRule>
          <xm:sqref>Z3:Z216</xm:sqref>
        </x14:conditionalFormatting>
        <x14:conditionalFormatting xmlns:xm="http://schemas.microsoft.com/office/excel/2006/main">
          <x14:cfRule type="dataBar" id="{E04AE450-E4B1-4980-8131-D1829C5E70E9}">
            <x14:dataBar axisPosition="none">
              <x14:cfvo type="min"/>
              <x14:cfvo type="max"/>
              <x14:negativeFillColor rgb="FFF7DC6F"/>
            </x14:dataBar>
          </x14:cfRule>
          <xm:sqref>AA3:AA216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6C1"/>
  </sheetPr>
  <dimension ref="B2:S11"/>
  <sheetViews>
    <sheetView showGridLines="0" zoomScaleNormal="100" workbookViewId="0">
      <pane ySplit="3" topLeftCell="A4" activePane="bottomLeft" state="frozen"/>
      <selection pane="bottomLeft" activeCell="M2" sqref="M2"/>
    </sheetView>
  </sheetViews>
  <sheetFormatPr baseColWidth="10" defaultColWidth="8.6640625" defaultRowHeight="14.4"/>
  <cols>
    <col min="1" max="1" width="2.109375" customWidth="1"/>
    <col min="2" max="2" width="13" customWidth="1"/>
    <col min="3" max="3" width="7" customWidth="1"/>
    <col min="4" max="4" width="8" customWidth="1"/>
    <col min="5" max="7" width="6" customWidth="1"/>
    <col min="8" max="8" width="9" customWidth="1"/>
    <col min="9" max="9" width="12" customWidth="1"/>
    <col min="10" max="12" width="11" customWidth="1"/>
    <col min="13" max="13" width="7" customWidth="1"/>
    <col min="14" max="14" width="8.5546875" customWidth="1"/>
    <col min="15" max="15" width="7" customWidth="1"/>
    <col min="16" max="16" width="11.5546875" customWidth="1"/>
    <col min="17" max="19" width="7" customWidth="1"/>
  </cols>
  <sheetData>
    <row r="2" spans="2:19" ht="25.5" customHeight="1">
      <c r="B2" s="124" t="s">
        <v>517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2"/>
      <c r="N2" s="2"/>
      <c r="O2" s="2"/>
      <c r="P2" s="2"/>
      <c r="Q2" s="2"/>
      <c r="R2" s="2"/>
      <c r="S2" s="2"/>
    </row>
    <row r="3" spans="2:19" ht="27.75" customHeight="1">
      <c r="B3" s="51" t="s">
        <v>518</v>
      </c>
      <c r="C3" s="51" t="s">
        <v>519</v>
      </c>
      <c r="D3" s="51" t="s">
        <v>520</v>
      </c>
      <c r="E3" s="51" t="s">
        <v>24</v>
      </c>
      <c r="F3" s="51" t="s">
        <v>25</v>
      </c>
      <c r="G3" s="51" t="s">
        <v>26</v>
      </c>
      <c r="H3" s="51" t="s">
        <v>503</v>
      </c>
      <c r="I3" s="51" t="s">
        <v>521</v>
      </c>
      <c r="J3" s="51" t="s">
        <v>522</v>
      </c>
      <c r="K3" s="51" t="s">
        <v>523</v>
      </c>
      <c r="L3" s="51" t="s">
        <v>524</v>
      </c>
      <c r="M3" s="80" t="s">
        <v>525</v>
      </c>
      <c r="N3" s="80" t="s">
        <v>526</v>
      </c>
      <c r="O3" s="80" t="s">
        <v>527</v>
      </c>
      <c r="P3" s="80" t="s">
        <v>528</v>
      </c>
      <c r="Q3" s="80" t="s">
        <v>500</v>
      </c>
      <c r="R3" s="80" t="s">
        <v>501</v>
      </c>
      <c r="S3" s="80" t="s">
        <v>502</v>
      </c>
    </row>
    <row r="4" spans="2:19" ht="15" customHeight="1">
      <c r="B4" s="52" t="s">
        <v>57</v>
      </c>
      <c r="C4" s="52" t="s">
        <v>529</v>
      </c>
      <c r="D4" s="53">
        <f>COUNTIF('📋 RANKING'!$E$3:$E$265,$B4)</f>
        <v>41</v>
      </c>
      <c r="E4" s="53">
        <f>COUNTIFS('📋 RANKING'!$E$3:$E$265,$B4,'📋 RANKING'!$B$3:$B$265,"Fase 1")</f>
        <v>19</v>
      </c>
      <c r="F4" s="53">
        <f>COUNTIFS('📋 RANKING'!$E$3:$E$265,$B4,'📋 RANKING'!$B$3:$B$265,"Fase 2")</f>
        <v>21</v>
      </c>
      <c r="G4" s="53">
        <f>COUNTIFS('📋 RANKING'!$E$3:$E$265,$B4,'📋 RANKING'!$B$3:$B$265,"Fase 3")</f>
        <v>1</v>
      </c>
      <c r="H4" s="81">
        <v>39.409999999999997</v>
      </c>
      <c r="I4" s="82">
        <v>22486</v>
      </c>
      <c r="J4" s="81">
        <v>9.5</v>
      </c>
      <c r="K4" s="81">
        <v>16.899999999999999</v>
      </c>
      <c r="L4" s="81">
        <v>21.3</v>
      </c>
      <c r="M4" s="83">
        <f t="shared" ref="M4:M9" si="0">(H4-MIN($H$4:$H$9))/(MAX($H$4:$H$9)-MIN($H$4:$H$9))</f>
        <v>0.41354685133088059</v>
      </c>
      <c r="N4" s="83">
        <f t="shared" ref="N4:N9" si="1">(I4-MIN($I$4:$I$9))/(MAX($I$4:$I$9)-MIN($I$4:$I$9))</f>
        <v>0.56243019879383516</v>
      </c>
      <c r="O4" s="83">
        <f t="shared" ref="O4:O9" si="2">(L4-MIN($L$4:$L$9))/(MAX($L$4:$L$9)-MIN($L$4:$L$9))</f>
        <v>1</v>
      </c>
      <c r="P4" s="83">
        <f t="shared" ref="P4:P9" si="3">0.4*M4+0.4*(1-N4)+0.2*O4</f>
        <v>0.5404466610148182</v>
      </c>
      <c r="Q4" s="83">
        <f t="shared" ref="Q4:Q9" si="4">(P4-MIN($P$4:$P$9))/(MAX($P$4:$P$9)-MIN($P$4:$P$9))</f>
        <v>0.54128061278831963</v>
      </c>
      <c r="R4" s="83">
        <f t="shared" ref="R4:R9" si="5">(MAX($J$4:$J$9)-J4)/(MAX($J$4:$J$9)-MIN($J$4:$J$9))</f>
        <v>0.59585492227979275</v>
      </c>
      <c r="S4" s="83">
        <f t="shared" ref="S4:S9" si="6">(K4-MIN($K$4:$K$9))/(MAX($K$4:$K$9)-MIN($K$4:$K$9))</f>
        <v>0.28636363636363632</v>
      </c>
    </row>
    <row r="5" spans="2:19" ht="15" customHeight="1">
      <c r="B5" s="54" t="s">
        <v>66</v>
      </c>
      <c r="C5" s="54" t="s">
        <v>530</v>
      </c>
      <c r="D5" s="55">
        <f>COUNTIF('📋 RANKING'!$E$3:$E$265,$B5)</f>
        <v>32</v>
      </c>
      <c r="E5" s="55">
        <f>COUNTIFS('📋 RANKING'!$E$3:$E$265,$B5,'📋 RANKING'!$B$3:$B$265,"Fase 1")</f>
        <v>2</v>
      </c>
      <c r="F5" s="55">
        <f>COUNTIFS('📋 RANKING'!$E$3:$E$265,$B5,'📋 RANKING'!$B$3:$B$265,"Fase 2")</f>
        <v>10</v>
      </c>
      <c r="G5" s="55">
        <f>COUNTIFS('📋 RANKING'!$E$3:$E$265,$B5,'📋 RANKING'!$B$3:$B$265,"Fase 3")</f>
        <v>20</v>
      </c>
      <c r="H5" s="84">
        <v>30.06</v>
      </c>
      <c r="I5" s="85">
        <v>25132</v>
      </c>
      <c r="J5" s="84">
        <v>13.66</v>
      </c>
      <c r="K5" s="84">
        <v>28.1</v>
      </c>
      <c r="L5" s="84">
        <v>11.4</v>
      </c>
      <c r="M5" s="86">
        <f t="shared" si="0"/>
        <v>0.21120969487123992</v>
      </c>
      <c r="N5" s="86">
        <f t="shared" si="1"/>
        <v>0.85794058521331251</v>
      </c>
      <c r="O5" s="86">
        <f t="shared" si="2"/>
        <v>0</v>
      </c>
      <c r="P5" s="86">
        <f t="shared" si="3"/>
        <v>0.14130764386317096</v>
      </c>
      <c r="Q5" s="86">
        <f t="shared" si="4"/>
        <v>0.13391192517993736</v>
      </c>
      <c r="R5" s="86">
        <f t="shared" si="5"/>
        <v>0.16476683937823833</v>
      </c>
      <c r="S5" s="86">
        <f t="shared" si="6"/>
        <v>0.79545454545454541</v>
      </c>
    </row>
    <row r="6" spans="2:19" ht="15" customHeight="1">
      <c r="B6" s="52" t="s">
        <v>194</v>
      </c>
      <c r="C6" s="52" t="s">
        <v>531</v>
      </c>
      <c r="D6" s="53">
        <f>COUNTIF('📋 RANKING'!$E$3:$E$265,$B6)</f>
        <v>24</v>
      </c>
      <c r="E6" s="53">
        <f>COUNTIFS('📋 RANKING'!$E$3:$E$265,$B6,'📋 RANKING'!$B$3:$B$265,"Fase 1")</f>
        <v>0</v>
      </c>
      <c r="F6" s="53">
        <f>COUNTIFS('📋 RANKING'!$E$3:$E$265,$B6,'📋 RANKING'!$B$3:$B$265,"Fase 2")</f>
        <v>2</v>
      </c>
      <c r="G6" s="53">
        <f>COUNTIFS('📋 RANKING'!$E$3:$E$265,$B6,'📋 RANKING'!$B$3:$B$265,"Fase 3")</f>
        <v>22</v>
      </c>
      <c r="H6" s="81">
        <v>20.3</v>
      </c>
      <c r="I6" s="82">
        <v>26404</v>
      </c>
      <c r="J6" s="81">
        <v>15.25</v>
      </c>
      <c r="K6" s="81">
        <v>23.3</v>
      </c>
      <c r="L6" s="81">
        <v>11.9</v>
      </c>
      <c r="M6" s="83">
        <f t="shared" si="0"/>
        <v>0</v>
      </c>
      <c r="N6" s="83">
        <f t="shared" si="1"/>
        <v>1</v>
      </c>
      <c r="O6" s="83">
        <f t="shared" si="2"/>
        <v>5.0505050505050504E-2</v>
      </c>
      <c r="P6" s="83">
        <f t="shared" si="3"/>
        <v>1.0101010101010102E-2</v>
      </c>
      <c r="Q6" s="83">
        <f t="shared" si="4"/>
        <v>0</v>
      </c>
      <c r="R6" s="83">
        <f t="shared" si="5"/>
        <v>0</v>
      </c>
      <c r="S6" s="83">
        <f t="shared" si="6"/>
        <v>0.57727272727272727</v>
      </c>
    </row>
    <row r="7" spans="2:19" ht="15" customHeight="1">
      <c r="B7" s="54" t="s">
        <v>50</v>
      </c>
      <c r="C7" s="54" t="s">
        <v>532</v>
      </c>
      <c r="D7" s="55">
        <f>COUNTIF('📋 RANKING'!$E$3:$E$265,$B7)</f>
        <v>49</v>
      </c>
      <c r="E7" s="55">
        <f>COUNTIFS('📋 RANKING'!$E$3:$E$265,$B7,'📋 RANKING'!$B$3:$B$265,"Fase 1")</f>
        <v>45</v>
      </c>
      <c r="F7" s="55">
        <f>COUNTIFS('📋 RANKING'!$E$3:$E$265,$B7,'📋 RANKING'!$B$3:$B$265,"Fase 2")</f>
        <v>4</v>
      </c>
      <c r="G7" s="55">
        <f>COUNTIFS('📋 RANKING'!$E$3:$E$265,$B7,'📋 RANKING'!$B$3:$B$265,"Fase 3")</f>
        <v>0</v>
      </c>
      <c r="H7" s="84">
        <v>66.510000000000005</v>
      </c>
      <c r="I7" s="85">
        <v>17450</v>
      </c>
      <c r="J7" s="84">
        <v>5.6</v>
      </c>
      <c r="K7" s="84">
        <v>10.6</v>
      </c>
      <c r="L7" s="84">
        <v>20.8</v>
      </c>
      <c r="M7" s="86">
        <f t="shared" si="0"/>
        <v>1</v>
      </c>
      <c r="N7" s="86">
        <f t="shared" si="1"/>
        <v>0</v>
      </c>
      <c r="O7" s="86">
        <f t="shared" si="2"/>
        <v>0.9494949494949495</v>
      </c>
      <c r="P7" s="86">
        <f t="shared" si="3"/>
        <v>0.98989898989898994</v>
      </c>
      <c r="Q7" s="86">
        <f t="shared" si="4"/>
        <v>1</v>
      </c>
      <c r="R7" s="86">
        <f t="shared" si="5"/>
        <v>1</v>
      </c>
      <c r="S7" s="86">
        <f t="shared" si="6"/>
        <v>0</v>
      </c>
    </row>
    <row r="8" spans="2:19" ht="15" customHeight="1">
      <c r="B8" s="52" t="s">
        <v>124</v>
      </c>
      <c r="C8" s="52" t="s">
        <v>533</v>
      </c>
      <c r="D8" s="53">
        <f>COUNTIF('📋 RANKING'!$E$3:$E$265,$B8)</f>
        <v>34</v>
      </c>
      <c r="E8" s="53">
        <f>COUNTIFS('📋 RANKING'!$E$3:$E$265,$B8,'📋 RANKING'!$B$3:$B$265,"Fase 1")</f>
        <v>1</v>
      </c>
      <c r="F8" s="53">
        <f>COUNTIFS('📋 RANKING'!$E$3:$E$265,$B8,'📋 RANKING'!$B$3:$B$265,"Fase 2")</f>
        <v>21</v>
      </c>
      <c r="G8" s="53">
        <f>COUNTIFS('📋 RANKING'!$E$3:$E$265,$B8,'📋 RANKING'!$B$3:$B$265,"Fase 3")</f>
        <v>12</v>
      </c>
      <c r="H8" s="81">
        <v>24.5</v>
      </c>
      <c r="I8" s="82">
        <v>25206</v>
      </c>
      <c r="J8" s="81">
        <v>12.68</v>
      </c>
      <c r="K8" s="81">
        <v>32.6</v>
      </c>
      <c r="L8" s="81">
        <v>16.899999999999999</v>
      </c>
      <c r="M8" s="83">
        <f t="shared" si="0"/>
        <v>9.0889417874918818E-2</v>
      </c>
      <c r="N8" s="83">
        <f t="shared" si="1"/>
        <v>0.86620504802322984</v>
      </c>
      <c r="O8" s="83">
        <f t="shared" si="2"/>
        <v>0.55555555555555536</v>
      </c>
      <c r="P8" s="83">
        <f t="shared" si="3"/>
        <v>0.20098485905178667</v>
      </c>
      <c r="Q8" s="83">
        <f t="shared" si="4"/>
        <v>0.19481959841367916</v>
      </c>
      <c r="R8" s="83">
        <f t="shared" si="5"/>
        <v>0.2663212435233161</v>
      </c>
      <c r="S8" s="83">
        <f t="shared" si="6"/>
        <v>1</v>
      </c>
    </row>
    <row r="9" spans="2:19" ht="15" customHeight="1">
      <c r="B9" s="54" t="s">
        <v>207</v>
      </c>
      <c r="C9" s="54" t="s">
        <v>534</v>
      </c>
      <c r="D9" s="55">
        <f>COUNTIF('📋 RANKING'!$E$3:$E$265,$B9)</f>
        <v>23</v>
      </c>
      <c r="E9" s="55">
        <f>COUNTIFS('📋 RANKING'!$E$3:$E$265,$B9,'📋 RANKING'!$B$3:$B$265,"Fase 1")</f>
        <v>0</v>
      </c>
      <c r="F9" s="55">
        <f>COUNTIFS('📋 RANKING'!$E$3:$E$265,$B9,'📋 RANKING'!$B$3:$B$265,"Fase 2")</f>
        <v>10</v>
      </c>
      <c r="G9" s="55">
        <f>COUNTIFS('📋 RANKING'!$E$3:$E$265,$B9,'📋 RANKING'!$B$3:$B$265,"Fase 3")</f>
        <v>13</v>
      </c>
      <c r="H9" s="84">
        <v>29.81</v>
      </c>
      <c r="I9" s="85">
        <v>23665</v>
      </c>
      <c r="J9" s="84">
        <v>11.92</v>
      </c>
      <c r="K9" s="84">
        <v>26.2</v>
      </c>
      <c r="L9" s="84">
        <v>13.6</v>
      </c>
      <c r="M9" s="86">
        <f t="shared" si="0"/>
        <v>0.20579961047392331</v>
      </c>
      <c r="N9" s="86">
        <f t="shared" si="1"/>
        <v>0.6941031941031941</v>
      </c>
      <c r="O9" s="86">
        <f t="shared" si="2"/>
        <v>0.22222222222222215</v>
      </c>
      <c r="P9" s="86">
        <f t="shared" si="3"/>
        <v>0.24912301099273612</v>
      </c>
      <c r="Q9" s="86">
        <f t="shared" si="4"/>
        <v>0.24395028956990591</v>
      </c>
      <c r="R9" s="86">
        <f t="shared" si="5"/>
        <v>0.34507772020725386</v>
      </c>
      <c r="S9" s="86">
        <f t="shared" si="6"/>
        <v>0.70909090909090911</v>
      </c>
    </row>
    <row r="10" spans="2:19" ht="1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ht="15" customHeight="1">
      <c r="B11" s="129" t="s">
        <v>676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2"/>
      <c r="N11" s="2"/>
      <c r="O11" s="2"/>
      <c r="P11" s="2"/>
      <c r="Q11" s="2"/>
      <c r="R11" s="2"/>
      <c r="S11" s="2"/>
    </row>
  </sheetData>
  <mergeCells count="2">
    <mergeCell ref="B2:L2"/>
    <mergeCell ref="B11:L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509B"/>
  </sheetPr>
  <dimension ref="B2:D33"/>
  <sheetViews>
    <sheetView showGridLines="0" zoomScale="90" zoomScaleNormal="90" workbookViewId="0">
      <selection activeCell="E2" sqref="E2"/>
    </sheetView>
  </sheetViews>
  <sheetFormatPr baseColWidth="10" defaultColWidth="8.6640625" defaultRowHeight="14.4"/>
  <cols>
    <col min="1" max="1" width="3.5546875" customWidth="1"/>
    <col min="2" max="2" width="66.33203125" customWidth="1"/>
    <col min="3" max="3" width="11" customWidth="1"/>
    <col min="4" max="4" width="50.109375" customWidth="1"/>
  </cols>
  <sheetData>
    <row r="2" spans="2:4" ht="27.75" customHeight="1">
      <c r="B2" s="130" t="s">
        <v>684</v>
      </c>
      <c r="C2" s="130"/>
      <c r="D2" s="130"/>
    </row>
    <row r="3" spans="2:4" ht="21.75" customHeight="1">
      <c r="B3" s="114" t="s">
        <v>535</v>
      </c>
      <c r="C3" s="114" t="s">
        <v>536</v>
      </c>
      <c r="D3" s="114" t="s">
        <v>537</v>
      </c>
    </row>
    <row r="4" spans="2:4" ht="19.5" customHeight="1">
      <c r="B4" s="120" t="s">
        <v>538</v>
      </c>
      <c r="C4" s="120"/>
      <c r="D4" s="120"/>
    </row>
    <row r="5" spans="2:4" ht="16.5" customHeight="1">
      <c r="B5" s="109" t="s">
        <v>539</v>
      </c>
      <c r="C5" s="110" t="s">
        <v>540</v>
      </c>
      <c r="D5" s="87" t="s">
        <v>541</v>
      </c>
    </row>
    <row r="6" spans="2:4" ht="16.5" customHeight="1">
      <c r="B6" s="109" t="s">
        <v>542</v>
      </c>
      <c r="C6" s="110" t="s">
        <v>540</v>
      </c>
      <c r="D6" s="87" t="s">
        <v>543</v>
      </c>
    </row>
    <row r="7" spans="2:4" ht="16.5" customHeight="1">
      <c r="B7" s="109" t="s">
        <v>544</v>
      </c>
      <c r="C7" s="111">
        <v>0.9</v>
      </c>
      <c r="D7" s="87" t="s">
        <v>545</v>
      </c>
    </row>
    <row r="8" spans="2:4" ht="16.5" customHeight="1">
      <c r="B8" s="109" t="s">
        <v>546</v>
      </c>
      <c r="C8" s="111">
        <v>0.21</v>
      </c>
      <c r="D8" s="87" t="s">
        <v>547</v>
      </c>
    </row>
    <row r="9" spans="2:4" ht="30" customHeight="1">
      <c r="B9" s="109" t="s">
        <v>548</v>
      </c>
      <c r="C9" s="111">
        <v>1</v>
      </c>
      <c r="D9" s="87" t="s">
        <v>549</v>
      </c>
    </row>
    <row r="10" spans="2:4" ht="27.75" customHeight="1">
      <c r="B10" s="109" t="s">
        <v>550</v>
      </c>
      <c r="C10" s="111">
        <v>1335</v>
      </c>
      <c r="D10" s="87" t="s">
        <v>685</v>
      </c>
    </row>
    <row r="11" spans="2:4" ht="16.5" customHeight="1">
      <c r="B11" s="109" t="s">
        <v>551</v>
      </c>
      <c r="C11" s="111">
        <v>0.25</v>
      </c>
      <c r="D11" s="87" t="s">
        <v>552</v>
      </c>
    </row>
    <row r="12" spans="2:4" ht="16.5" customHeight="1">
      <c r="B12" s="109" t="s">
        <v>553</v>
      </c>
      <c r="C12" s="111">
        <v>0.1</v>
      </c>
      <c r="D12" s="87" t="s">
        <v>554</v>
      </c>
    </row>
    <row r="13" spans="2:4" ht="16.5" customHeight="1">
      <c r="B13" s="109" t="s">
        <v>555</v>
      </c>
      <c r="C13" s="111">
        <v>4.8000000000000001E-2</v>
      </c>
      <c r="D13" s="87" t="s">
        <v>556</v>
      </c>
    </row>
    <row r="14" spans="2:4" ht="16.5" customHeight="1">
      <c r="B14" s="109" t="s">
        <v>557</v>
      </c>
      <c r="C14" s="111">
        <v>4.5</v>
      </c>
      <c r="D14" s="88" t="s">
        <v>558</v>
      </c>
    </row>
    <row r="15" spans="2:4" ht="19.5" customHeight="1">
      <c r="B15" s="120" t="s">
        <v>559</v>
      </c>
      <c r="C15" s="120"/>
      <c r="D15" s="120"/>
    </row>
    <row r="16" spans="2:4" ht="16.5" customHeight="1">
      <c r="B16" s="109" t="s">
        <v>680</v>
      </c>
      <c r="C16" s="111">
        <v>100</v>
      </c>
      <c r="D16" s="87" t="s">
        <v>560</v>
      </c>
    </row>
    <row r="17" spans="2:4" ht="16.5" customHeight="1">
      <c r="B17" s="109" t="s">
        <v>561</v>
      </c>
      <c r="C17" s="111">
        <v>0.5</v>
      </c>
      <c r="D17" s="87" t="s">
        <v>562</v>
      </c>
    </row>
    <row r="18" spans="2:4" ht="16.5" customHeight="1">
      <c r="B18" s="109" t="s">
        <v>563</v>
      </c>
      <c r="C18" s="111">
        <v>3</v>
      </c>
      <c r="D18" s="87" t="s">
        <v>564</v>
      </c>
    </row>
    <row r="19" spans="2:4" ht="19.2" customHeight="1">
      <c r="B19" s="120" t="s">
        <v>681</v>
      </c>
      <c r="C19" s="120"/>
      <c r="D19" s="120"/>
    </row>
    <row r="20" spans="2:4" ht="16.5" customHeight="1">
      <c r="B20" s="109" t="s">
        <v>565</v>
      </c>
      <c r="C20" s="112">
        <f>MIN('📋 RANKING'!$G$3:$G$265)</f>
        <v>143</v>
      </c>
      <c r="D20" s="87" t="s">
        <v>566</v>
      </c>
    </row>
    <row r="21" spans="2:4" ht="16.5" customHeight="1">
      <c r="B21" s="109" t="s">
        <v>567</v>
      </c>
      <c r="C21" s="111">
        <v>0.55000000000000004</v>
      </c>
      <c r="D21" s="87" t="s">
        <v>568</v>
      </c>
    </row>
    <row r="22" spans="2:4" ht="16.5" customHeight="1">
      <c r="B22" s="109" t="s">
        <v>569</v>
      </c>
      <c r="C22" s="111">
        <v>0.22</v>
      </c>
      <c r="D22" s="87" t="s">
        <v>570</v>
      </c>
    </row>
    <row r="23" spans="2:4" ht="16.5" customHeight="1">
      <c r="B23" s="109" t="s">
        <v>571</v>
      </c>
      <c r="C23" s="111">
        <v>0.14000000000000001</v>
      </c>
      <c r="D23" s="87" t="s">
        <v>572</v>
      </c>
    </row>
    <row r="24" spans="2:4" ht="16.5" customHeight="1">
      <c r="B24" s="109" t="s">
        <v>573</v>
      </c>
      <c r="C24" s="111">
        <v>0.09</v>
      </c>
      <c r="D24" s="87" t="s">
        <v>574</v>
      </c>
    </row>
    <row r="25" spans="2:4" ht="16.5" customHeight="1">
      <c r="B25" s="109" t="s">
        <v>575</v>
      </c>
      <c r="C25" s="112">
        <f>MAX('📋 RANKING'!$G$3:$G$265)</f>
        <v>724</v>
      </c>
      <c r="D25" s="87" t="s">
        <v>576</v>
      </c>
    </row>
    <row r="26" spans="2:4" ht="16.5" customHeight="1">
      <c r="B26" s="109" t="s">
        <v>577</v>
      </c>
      <c r="C26" s="113">
        <f>SUM(C21:C24)</f>
        <v>1</v>
      </c>
      <c r="D26" s="87"/>
    </row>
    <row r="27" spans="2:4" ht="19.5" customHeight="1">
      <c r="B27" s="120" t="s">
        <v>669</v>
      </c>
      <c r="C27" s="120"/>
      <c r="D27" s="120"/>
    </row>
    <row r="28" spans="2:4" ht="16.5" customHeight="1">
      <c r="B28" s="109" t="s">
        <v>578</v>
      </c>
      <c r="C28" s="112">
        <f>COUNT('📋 RANKING'!$L$3:$L$265)</f>
        <v>203</v>
      </c>
      <c r="D28" s="87"/>
    </row>
    <row r="29" spans="2:4" ht="16.5" customHeight="1">
      <c r="B29" s="109" t="s">
        <v>579</v>
      </c>
      <c r="C29" s="112">
        <f>INT(C28/3)</f>
        <v>67</v>
      </c>
      <c r="D29" s="87"/>
    </row>
    <row r="30" spans="2:4" ht="16.5" customHeight="1">
      <c r="B30" s="109" t="s">
        <v>580</v>
      </c>
      <c r="C30" s="112">
        <f>INT(2*C28/3)</f>
        <v>135</v>
      </c>
      <c r="D30" s="87"/>
    </row>
    <row r="31" spans="2:4" ht="19.5" customHeight="1">
      <c r="B31" s="120" t="s">
        <v>581</v>
      </c>
      <c r="C31" s="120"/>
      <c r="D31" s="120"/>
    </row>
    <row r="32" spans="2:4" ht="16.5" customHeight="1">
      <c r="B32" s="109" t="s">
        <v>582</v>
      </c>
      <c r="C32" s="111">
        <v>15</v>
      </c>
      <c r="D32" s="87"/>
    </row>
    <row r="33" spans="2:4" ht="16.5" customHeight="1">
      <c r="B33" s="109" t="s">
        <v>583</v>
      </c>
      <c r="C33" s="111">
        <v>16</v>
      </c>
      <c r="D33" s="87"/>
    </row>
  </sheetData>
  <mergeCells count="6">
    <mergeCell ref="B31:D31"/>
    <mergeCell ref="B2:D2"/>
    <mergeCell ref="B4:D4"/>
    <mergeCell ref="B15:D15"/>
    <mergeCell ref="B19:D19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C1"/>
  </sheetPr>
  <dimension ref="A1:Y35"/>
  <sheetViews>
    <sheetView showGridLines="0" zoomScaleNormal="100" workbookViewId="0">
      <selection activeCell="Q2" sqref="Q2"/>
    </sheetView>
  </sheetViews>
  <sheetFormatPr baseColWidth="10" defaultColWidth="8.6640625" defaultRowHeight="14.4"/>
  <cols>
    <col min="1" max="1" width="2" customWidth="1"/>
    <col min="2" max="2" width="7" customWidth="1"/>
    <col min="3" max="3" width="35.33203125" customWidth="1"/>
    <col min="4" max="6" width="22" customWidth="1"/>
    <col min="7" max="7" width="8" customWidth="1"/>
    <col min="8" max="8" width="5" customWidth="1"/>
    <col min="9" max="9" width="22" customWidth="1"/>
    <col min="10" max="10" width="4" customWidth="1"/>
    <col min="11" max="11" width="7" customWidth="1"/>
    <col min="12" max="12" width="8" customWidth="1"/>
    <col min="13" max="13" width="6" customWidth="1"/>
    <col min="14" max="14" width="22" customWidth="1"/>
    <col min="15" max="16" width="4" customWidth="1"/>
    <col min="18" max="25" width="13" hidden="1" customWidth="1"/>
  </cols>
  <sheetData>
    <row r="1" spans="1:25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466</v>
      </c>
      <c r="S1" s="2" t="s">
        <v>467</v>
      </c>
      <c r="T1" s="2"/>
      <c r="U1" s="2" t="s">
        <v>468</v>
      </c>
      <c r="V1" s="2" t="s">
        <v>467</v>
      </c>
      <c r="W1" s="2"/>
      <c r="X1" s="2" t="s">
        <v>469</v>
      </c>
      <c r="Y1" s="2" t="s">
        <v>467</v>
      </c>
    </row>
    <row r="2" spans="1:25" ht="27.75" customHeight="1">
      <c r="A2" s="2"/>
      <c r="B2" s="124" t="s">
        <v>470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2"/>
      <c r="R2" s="2" t="s">
        <v>19</v>
      </c>
      <c r="S2" s="2">
        <f>COUNTIF('📋 RANKING'!$F$3:$F$265,R2)</f>
        <v>60</v>
      </c>
      <c r="T2" s="2"/>
      <c r="U2" s="2" t="s">
        <v>471</v>
      </c>
      <c r="V2" s="2">
        <f>COUNTIF('📋 RANKING'!$B$3:$B$265,U2)</f>
        <v>67</v>
      </c>
      <c r="W2" s="2"/>
      <c r="X2" s="2" t="s">
        <v>472</v>
      </c>
      <c r="Y2" s="2">
        <f>COUNTIF('📋 RANKING'!$E$3:$E$265,"4718606"&amp;RIGHT(X2,3))</f>
        <v>41</v>
      </c>
    </row>
    <row r="3" spans="1:25" ht="15" customHeight="1">
      <c r="A3" s="2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2"/>
      <c r="R3" s="2" t="s">
        <v>20</v>
      </c>
      <c r="S3" s="2">
        <f>COUNTIF('📋 RANKING'!$F$3:$F$265,R3)</f>
        <v>32</v>
      </c>
      <c r="T3" s="2"/>
      <c r="U3" s="2" t="s">
        <v>473</v>
      </c>
      <c r="V3" s="2">
        <f>COUNTIF('📋 RANKING'!$B$3:$B$265,U3)</f>
        <v>68</v>
      </c>
      <c r="W3" s="2"/>
      <c r="X3" s="2" t="s">
        <v>474</v>
      </c>
      <c r="Y3" s="2">
        <f>COUNTIF('📋 RANKING'!$E$3:$E$265,"4718606"&amp;RIGHT(X3,3))</f>
        <v>32</v>
      </c>
    </row>
    <row r="4" spans="1:25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21</v>
      </c>
      <c r="S4" s="2">
        <f>COUNTIF('📋 RANKING'!$F$3:$F$265,R4)</f>
        <v>106</v>
      </c>
      <c r="T4" s="2"/>
      <c r="U4" s="2" t="s">
        <v>475</v>
      </c>
      <c r="V4" s="2">
        <f>COUNTIF('📋 RANKING'!$B$3:$B$265,U4)</f>
        <v>68</v>
      </c>
      <c r="W4" s="2"/>
      <c r="X4" s="2" t="s">
        <v>476</v>
      </c>
      <c r="Y4" s="2">
        <f>COUNTIF('📋 RANKING'!$E$3:$E$265,"4718606"&amp;RIGHT(X4,3))</f>
        <v>24</v>
      </c>
    </row>
    <row r="5" spans="1:25" ht="36" customHeight="1">
      <c r="A5" s="2"/>
      <c r="B5" s="135">
        <f>COUNT('📋 RANKING'!$G$3:$G$265)</f>
        <v>203</v>
      </c>
      <c r="C5" s="135"/>
      <c r="D5" s="2"/>
      <c r="E5" s="136">
        <f>COUNTIF('📋 RANKING'!$B$3:$B$265,"Fase 1")</f>
        <v>67</v>
      </c>
      <c r="F5" s="136"/>
      <c r="G5" s="2"/>
      <c r="H5" s="137">
        <f>COUNTIF('📋 RANKING'!$F$3:$F$265,"G")</f>
        <v>60</v>
      </c>
      <c r="I5" s="137"/>
      <c r="J5" s="2"/>
      <c r="K5" s="138">
        <f>COUNTIFS('📋 RANKING'!$J$3:$J$265,"&lt;1980",'📋 RANKING'!$J$3:$J$265,"&gt;0")</f>
        <v>199</v>
      </c>
      <c r="L5" s="138"/>
      <c r="M5" s="2"/>
      <c r="N5" s="2"/>
      <c r="O5" s="2"/>
      <c r="P5" s="2"/>
      <c r="Q5" s="2"/>
      <c r="R5" s="2" t="s">
        <v>22</v>
      </c>
      <c r="S5" s="2">
        <f>COUNTIF('📋 RANKING'!$F$3:$F$265,R5)</f>
        <v>5</v>
      </c>
      <c r="T5" s="2"/>
      <c r="U5" s="2"/>
      <c r="V5" s="2"/>
      <c r="W5" s="2"/>
      <c r="X5" s="2" t="s">
        <v>477</v>
      </c>
      <c r="Y5" s="2">
        <f>COUNTIF('📋 RANKING'!$E$3:$E$265,"4718606"&amp;RIGHT(X5,3))</f>
        <v>49</v>
      </c>
    </row>
    <row r="6" spans="1:25" ht="25.5" customHeight="1">
      <c r="A6" s="2"/>
      <c r="B6" s="131" t="s">
        <v>0</v>
      </c>
      <c r="C6" s="131"/>
      <c r="D6" s="2"/>
      <c r="E6" s="132" t="s">
        <v>478</v>
      </c>
      <c r="F6" s="132"/>
      <c r="G6" s="2"/>
      <c r="H6" s="133" t="s">
        <v>479</v>
      </c>
      <c r="I6" s="133"/>
      <c r="J6" s="2"/>
      <c r="K6" s="134" t="s">
        <v>480</v>
      </c>
      <c r="L6" s="13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481</v>
      </c>
      <c r="Y6" s="2">
        <f>COUNTIF('📋 RANKING'!$E$3:$E$265,"4718606"&amp;RIGHT(X6,3))</f>
        <v>34</v>
      </c>
    </row>
    <row r="7" spans="1:25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482</v>
      </c>
      <c r="Y7" s="2">
        <f>COUNTIF('📋 RANKING'!$E$3:$E$265,"4718606"&amp;RIGHT(X7,3))</f>
        <v>23</v>
      </c>
    </row>
    <row r="8" spans="1:25" ht="21.75" customHeight="1">
      <c r="A8" s="2"/>
      <c r="B8" s="120" t="s">
        <v>483</v>
      </c>
      <c r="C8" s="120"/>
      <c r="D8" s="120"/>
      <c r="E8" s="120"/>
      <c r="F8" s="45"/>
      <c r="G8" s="120" t="s">
        <v>484</v>
      </c>
      <c r="H8" s="120"/>
      <c r="I8" s="120"/>
      <c r="J8" s="120"/>
      <c r="K8" s="45"/>
      <c r="L8" s="120" t="s">
        <v>485</v>
      </c>
      <c r="M8" s="120"/>
      <c r="N8" s="120"/>
      <c r="O8" s="120"/>
      <c r="P8" s="120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 customHeight="1">
      <c r="A10" s="2"/>
      <c r="B10" s="46" t="str">
        <f t="shared" ref="B10:C16" si="0">R2</f>
        <v>G</v>
      </c>
      <c r="C10" s="47">
        <f t="shared" si="0"/>
        <v>60</v>
      </c>
      <c r="D10" s="48" t="str">
        <f t="shared" ref="D10:D16" si="1">IF(S2&gt;0,REPT("█",ROUND(S2/MAX($S$2:$S$8)*16,0)),"")</f>
        <v>█████████</v>
      </c>
      <c r="E10" s="2"/>
      <c r="F10" s="2"/>
      <c r="G10" s="46" t="str">
        <f t="shared" ref="G10:H12" si="2">U2</f>
        <v>Fase 1</v>
      </c>
      <c r="H10" s="47">
        <f t="shared" si="2"/>
        <v>67</v>
      </c>
      <c r="I10" s="49" t="str">
        <f>IF(V2&gt;0,REPT("█",ROUND(V2/MAX($V$2:$V$4)*16,0)),"")</f>
        <v>████████████████</v>
      </c>
      <c r="J10" s="2"/>
      <c r="K10" s="2"/>
      <c r="L10" s="46" t="str">
        <f t="shared" ref="L10:M15" si="3">X2</f>
        <v>06-023</v>
      </c>
      <c r="M10" s="47">
        <f t="shared" si="3"/>
        <v>41</v>
      </c>
      <c r="N10" s="50" t="str">
        <f t="shared" ref="N10:N15" si="4">IF(Y2&gt;0,REPT("█",ROUND(Y2/MAX($Y$2:$Y$7)*16,0)),"")</f>
        <v>█████████████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2"/>
      <c r="B11" s="46" t="str">
        <f t="shared" si="0"/>
        <v>F</v>
      </c>
      <c r="C11" s="47">
        <f t="shared" si="0"/>
        <v>32</v>
      </c>
      <c r="D11" s="48" t="str">
        <f t="shared" si="1"/>
        <v>█████</v>
      </c>
      <c r="E11" s="2"/>
      <c r="F11" s="2"/>
      <c r="G11" s="46" t="str">
        <f t="shared" si="2"/>
        <v>Fase 2</v>
      </c>
      <c r="H11" s="47">
        <f t="shared" si="2"/>
        <v>68</v>
      </c>
      <c r="I11" s="49" t="str">
        <f>IF(V3&gt;0,REPT("█",ROUND(V3/MAX($V$2:$V$4)*16,0)),"")</f>
        <v>████████████████</v>
      </c>
      <c r="J11" s="2"/>
      <c r="K11" s="2"/>
      <c r="L11" s="46" t="str">
        <f t="shared" si="3"/>
        <v>06-024</v>
      </c>
      <c r="M11" s="47">
        <f t="shared" si="3"/>
        <v>32</v>
      </c>
      <c r="N11" s="50" t="str">
        <f t="shared" si="4"/>
        <v>██████████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>
      <c r="A12" s="2"/>
      <c r="B12" s="46" t="str">
        <f t="shared" si="0"/>
        <v>E</v>
      </c>
      <c r="C12" s="47">
        <f t="shared" si="0"/>
        <v>106</v>
      </c>
      <c r="D12" s="48" t="str">
        <f t="shared" si="1"/>
        <v>████████████████</v>
      </c>
      <c r="E12" s="2"/>
      <c r="F12" s="2"/>
      <c r="G12" s="46" t="str">
        <f t="shared" si="2"/>
        <v>Fase 3</v>
      </c>
      <c r="H12" s="47">
        <f t="shared" si="2"/>
        <v>68</v>
      </c>
      <c r="I12" s="49" t="str">
        <f>IF(V4&gt;0,REPT("█",ROUND(V4/MAX($V$2:$V$4)*16,0)),"")</f>
        <v>████████████████</v>
      </c>
      <c r="J12" s="2"/>
      <c r="K12" s="2"/>
      <c r="L12" s="46" t="str">
        <f t="shared" si="3"/>
        <v>06-025</v>
      </c>
      <c r="M12" s="47">
        <f t="shared" si="3"/>
        <v>24</v>
      </c>
      <c r="N12" s="50" t="str">
        <f t="shared" si="4"/>
        <v>████████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" customHeight="1">
      <c r="A13" s="2"/>
      <c r="B13" s="46" t="str">
        <f t="shared" si="0"/>
        <v>D</v>
      </c>
      <c r="C13" s="47">
        <f t="shared" si="0"/>
        <v>5</v>
      </c>
      <c r="D13" s="48" t="str">
        <f t="shared" si="1"/>
        <v>█</v>
      </c>
      <c r="E13" s="2"/>
      <c r="F13" s="2"/>
      <c r="G13" s="2"/>
      <c r="H13" s="2"/>
      <c r="I13" s="2"/>
      <c r="J13" s="2"/>
      <c r="K13" s="2"/>
      <c r="L13" s="46" t="str">
        <f t="shared" si="3"/>
        <v>06-026</v>
      </c>
      <c r="M13" s="47">
        <f t="shared" si="3"/>
        <v>49</v>
      </c>
      <c r="N13" s="50" t="str">
        <f t="shared" si="4"/>
        <v>████████████████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 customHeight="1">
      <c r="A14" s="2"/>
      <c r="B14" s="46">
        <f t="shared" si="0"/>
        <v>0</v>
      </c>
      <c r="C14" s="47">
        <f t="shared" si="0"/>
        <v>0</v>
      </c>
      <c r="D14" s="48" t="str">
        <f t="shared" si="1"/>
        <v/>
      </c>
      <c r="E14" s="2"/>
      <c r="F14" s="2"/>
      <c r="G14" s="2"/>
      <c r="H14" s="2"/>
      <c r="I14" s="2"/>
      <c r="J14" s="2"/>
      <c r="K14" s="2"/>
      <c r="L14" s="46" t="str">
        <f t="shared" si="3"/>
        <v>06-027</v>
      </c>
      <c r="M14" s="47">
        <f t="shared" si="3"/>
        <v>34</v>
      </c>
      <c r="N14" s="50" t="str">
        <f t="shared" si="4"/>
        <v>███████████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 customHeight="1">
      <c r="A15" s="2"/>
      <c r="B15" s="46">
        <f t="shared" si="0"/>
        <v>0</v>
      </c>
      <c r="C15" s="47">
        <f t="shared" si="0"/>
        <v>0</v>
      </c>
      <c r="D15" s="48" t="str">
        <f t="shared" si="1"/>
        <v/>
      </c>
      <c r="E15" s="2"/>
      <c r="F15" s="2"/>
      <c r="G15" s="2"/>
      <c r="H15" s="2"/>
      <c r="I15" s="2"/>
      <c r="J15" s="2"/>
      <c r="K15" s="2"/>
      <c r="L15" s="46" t="str">
        <f t="shared" si="3"/>
        <v>06-028</v>
      </c>
      <c r="M15" s="47">
        <f t="shared" si="3"/>
        <v>23</v>
      </c>
      <c r="N15" s="50" t="str">
        <f t="shared" si="4"/>
        <v>████████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 customHeight="1">
      <c r="A16" s="2"/>
      <c r="B16" s="46">
        <f t="shared" si="0"/>
        <v>0</v>
      </c>
      <c r="C16" s="47">
        <f t="shared" si="0"/>
        <v>0</v>
      </c>
      <c r="D16" s="48" t="str">
        <f t="shared" si="1"/>
        <v/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1.75" customHeight="1">
      <c r="A24" s="2"/>
      <c r="B24" s="120" t="s">
        <v>486</v>
      </c>
      <c r="C24" s="120"/>
      <c r="D24" s="120"/>
      <c r="E24" s="120"/>
      <c r="F24" s="12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.75" customHeight="1">
      <c r="A25" s="2"/>
      <c r="B25" s="97" t="s">
        <v>32</v>
      </c>
      <c r="C25" s="97" t="s">
        <v>33</v>
      </c>
      <c r="D25" s="97" t="s">
        <v>37</v>
      </c>
      <c r="E25" s="97" t="s">
        <v>487</v>
      </c>
      <c r="F25" s="97" t="s">
        <v>488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98">
        <v>1</v>
      </c>
      <c r="C26" s="99" t="str">
        <f>INDEX('📋 RANKING'!$C$3:$C$265,MATCH($B26,'📋 RANKING'!$A$3:$A$265,0))</f>
        <v>C/ Salud, 19</v>
      </c>
      <c r="D26" s="100" t="str">
        <f>INDEX('📋 RANKING'!$F$3:$F$265,MATCH($B26,'📋 RANKING'!$A$3:$A$265,0))</f>
        <v>G</v>
      </c>
      <c r="E26" s="101">
        <f>INDEX('📋 RANKING'!$G$3:$G$265,MATCH($B26,'📋 RANKING'!$A$3:$A$265,0))</f>
        <v>713</v>
      </c>
      <c r="F26" s="102">
        <f>INDEX('📋 RANKING'!$O$3:$O$265,MATCH($B26,'📋 RANKING'!$A$3:$A$265,0))</f>
        <v>0.89959999999999996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103">
        <v>2</v>
      </c>
      <c r="C27" s="104" t="str">
        <f>INDEX('📋 RANKING'!$C$3:$C$265,MATCH($B27,'📋 RANKING'!$A$3:$A$265,0))</f>
        <v>C/ Pavo Real, 21</v>
      </c>
      <c r="D27" s="105" t="str">
        <f>INDEX('📋 RANKING'!$F$3:$F$265,MATCH($B27,'📋 RANKING'!$A$3:$A$265,0))</f>
        <v>G</v>
      </c>
      <c r="E27" s="106">
        <f>INDEX('📋 RANKING'!$G$3:$G$265,MATCH($B27,'📋 RANKING'!$A$3:$A$265,0))</f>
        <v>630</v>
      </c>
      <c r="F27" s="107">
        <f>INDEX('📋 RANKING'!$O$3:$O$265,MATCH($B27,'📋 RANKING'!$A$3:$A$265,0))</f>
        <v>0.82099999999999995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>
      <c r="A28" s="2"/>
      <c r="B28" s="98">
        <v>3</v>
      </c>
      <c r="C28" s="99" t="str">
        <f>INDEX('📋 RANKING'!$C$3:$C$265,MATCH($B28,'📋 RANKING'!$A$3:$A$265,0))</f>
        <v>C/ Salud, 17</v>
      </c>
      <c r="D28" s="100" t="str">
        <f>INDEX('📋 RANKING'!$F$3:$F$265,MATCH($B28,'📋 RANKING'!$A$3:$A$265,0))</f>
        <v>G</v>
      </c>
      <c r="E28" s="101">
        <f>INDEX('📋 RANKING'!$G$3:$G$265,MATCH($B28,'📋 RANKING'!$A$3:$A$265,0))</f>
        <v>528</v>
      </c>
      <c r="F28" s="102">
        <f>INDEX('📋 RANKING'!$O$3:$O$265,MATCH($B28,'📋 RANKING'!$A$3:$A$265,0))</f>
        <v>0.72450000000000003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103">
        <v>4</v>
      </c>
      <c r="C29" s="104" t="str">
        <f>INDEX('📋 RANKING'!$C$3:$C$265,MATCH($B29,'📋 RANKING'!$A$3:$A$265,0))</f>
        <v>C/ Halcón, 2</v>
      </c>
      <c r="D29" s="105" t="str">
        <f>INDEX('📋 RANKING'!$F$3:$F$265,MATCH($B29,'📋 RANKING'!$A$3:$A$265,0))</f>
        <v>G</v>
      </c>
      <c r="E29" s="106">
        <f>INDEX('📋 RANKING'!$G$3:$G$265,MATCH($B29,'📋 RANKING'!$A$3:$A$265,0))</f>
        <v>646</v>
      </c>
      <c r="F29" s="107">
        <f>INDEX('📋 RANKING'!$O$3:$O$265,MATCH($B29,'📋 RANKING'!$A$3:$A$265,0))</f>
        <v>0.70440000000000003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7.75" customHeight="1">
      <c r="A30" s="2"/>
      <c r="B30" s="98">
        <v>5</v>
      </c>
      <c r="C30" s="99" t="str">
        <f>INDEX('📋 RANKING'!$C$3:$C$265,MATCH($B30,'📋 RANKING'!$A$3:$A$265,0))</f>
        <v>C/ Rincón del Esgueva, 13</v>
      </c>
      <c r="D30" s="100" t="str">
        <f>INDEX('📋 RANKING'!$F$3:$F$265,MATCH($B30,'📋 RANKING'!$A$3:$A$265,0))</f>
        <v>G</v>
      </c>
      <c r="E30" s="101">
        <f>INDEX('📋 RANKING'!$G$3:$G$265,MATCH($B30,'📋 RANKING'!$A$3:$A$265,0))</f>
        <v>634</v>
      </c>
      <c r="F30" s="102">
        <f>INDEX('📋 RANKING'!$O$3:$O$265,MATCH($B30,'📋 RANKING'!$A$3:$A$265,0))</f>
        <v>0.69310000000000005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103">
        <v>6</v>
      </c>
      <c r="C31" s="104" t="str">
        <f>INDEX('📋 RANKING'!$C$3:$C$265,MATCH($B31,'📋 RANKING'!$A$3:$A$265,0))</f>
        <v>C/ Calandria, 4</v>
      </c>
      <c r="D31" s="105" t="str">
        <f>INDEX('📋 RANKING'!$F$3:$F$265,MATCH($B31,'📋 RANKING'!$A$3:$A$265,0))</f>
        <v>G</v>
      </c>
      <c r="E31" s="106">
        <f>INDEX('📋 RANKING'!$G$3:$G$265,MATCH($B31,'📋 RANKING'!$A$3:$A$265,0))</f>
        <v>632</v>
      </c>
      <c r="F31" s="107">
        <f>INDEX('📋 RANKING'!$O$3:$O$265,MATCH($B31,'📋 RANKING'!$A$3:$A$265,0))</f>
        <v>0.69120000000000004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2"/>
      <c r="B32" s="98">
        <v>7</v>
      </c>
      <c r="C32" s="99" t="str">
        <f>INDEX('📋 RANKING'!$C$3:$C$265,MATCH($B32,'📋 RANKING'!$A$3:$A$265,0))</f>
        <v>C/ Marabú, 1</v>
      </c>
      <c r="D32" s="100" t="str">
        <f>INDEX('📋 RANKING'!$F$3:$F$265,MATCH($B32,'📋 RANKING'!$A$3:$A$265,0))</f>
        <v>G</v>
      </c>
      <c r="E32" s="101">
        <f>INDEX('📋 RANKING'!$G$3:$G$265,MATCH($B32,'📋 RANKING'!$A$3:$A$265,0))</f>
        <v>724</v>
      </c>
      <c r="F32" s="102">
        <f>INDEX('📋 RANKING'!$O$3:$O$265,MATCH($B32,'📋 RANKING'!$A$3:$A$265,0))</f>
        <v>0.67410000000000003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customHeight="1">
      <c r="A33" s="2"/>
      <c r="B33" s="103">
        <v>8</v>
      </c>
      <c r="C33" s="104" t="str">
        <f>INDEX('📋 RANKING'!$C$3:$C$265,MATCH($B33,'📋 RANKING'!$A$3:$A$265,0))</f>
        <v>C/ Pavo Real, 17</v>
      </c>
      <c r="D33" s="105" t="str">
        <f>INDEX('📋 RANKING'!$F$3:$F$265,MATCH($B33,'📋 RANKING'!$A$3:$A$265,0))</f>
        <v>G</v>
      </c>
      <c r="E33" s="106">
        <f>INDEX('📋 RANKING'!$G$3:$G$265,MATCH($B33,'📋 RANKING'!$A$3:$A$265,0))</f>
        <v>464</v>
      </c>
      <c r="F33" s="107">
        <f>INDEX('📋 RANKING'!$O$3:$O$265,MATCH($B33,'📋 RANKING'!$A$3:$A$265,0))</f>
        <v>0.66390000000000005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customHeight="1">
      <c r="A35" s="2"/>
      <c r="B35" s="108" t="s">
        <v>489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</sheetData>
  <mergeCells count="13">
    <mergeCell ref="B2:P3"/>
    <mergeCell ref="B5:C5"/>
    <mergeCell ref="E5:F5"/>
    <mergeCell ref="H5:I5"/>
    <mergeCell ref="K5:L5"/>
    <mergeCell ref="B24:F24"/>
    <mergeCell ref="B6:C6"/>
    <mergeCell ref="E6:F6"/>
    <mergeCell ref="H6:I6"/>
    <mergeCell ref="K6:L6"/>
    <mergeCell ref="B8:E8"/>
    <mergeCell ref="G8:J8"/>
    <mergeCell ref="L8:P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3A6B"/>
  </sheetPr>
  <dimension ref="A1:D17"/>
  <sheetViews>
    <sheetView showGridLines="0" zoomScaleNormal="100" workbookViewId="0">
      <selection activeCell="E2" sqref="E2"/>
    </sheetView>
  </sheetViews>
  <sheetFormatPr baseColWidth="10" defaultColWidth="8.6640625" defaultRowHeight="14.4"/>
  <cols>
    <col min="1" max="1" width="2.44140625" customWidth="1"/>
    <col min="2" max="2" width="36.88671875" customWidth="1"/>
    <col min="3" max="3" width="107.109375" customWidth="1"/>
    <col min="4" max="4" width="39.6640625" customWidth="1"/>
  </cols>
  <sheetData>
    <row r="1" spans="1:4" ht="15" customHeight="1">
      <c r="A1" s="2"/>
      <c r="B1" s="2"/>
      <c r="C1" s="2"/>
      <c r="D1" s="2"/>
    </row>
    <row r="2" spans="1:4" ht="25.5" customHeight="1">
      <c r="A2" s="2"/>
      <c r="B2" s="124" t="s">
        <v>584</v>
      </c>
      <c r="C2" s="124"/>
      <c r="D2" s="124"/>
    </row>
    <row r="3" spans="1:4" ht="25.5" customHeight="1">
      <c r="A3" s="2"/>
      <c r="B3" s="139" t="s">
        <v>585</v>
      </c>
      <c r="C3" s="139"/>
      <c r="D3" s="139"/>
    </row>
    <row r="4" spans="1:4" ht="15" customHeight="1">
      <c r="A4" s="2"/>
      <c r="B4" s="2"/>
      <c r="C4" s="2"/>
      <c r="D4" s="2"/>
    </row>
    <row r="5" spans="1:4" ht="21.75" customHeight="1">
      <c r="A5" s="2"/>
      <c r="B5" s="115" t="s">
        <v>586</v>
      </c>
      <c r="C5" s="115" t="s">
        <v>587</v>
      </c>
      <c r="D5" s="115" t="s">
        <v>670</v>
      </c>
    </row>
    <row r="6" spans="1:4" ht="31.8" customHeight="1">
      <c r="A6" s="2"/>
      <c r="B6" s="116" t="s">
        <v>588</v>
      </c>
      <c r="C6" s="118" t="s">
        <v>589</v>
      </c>
      <c r="D6" s="118" t="s">
        <v>590</v>
      </c>
    </row>
    <row r="7" spans="1:4" ht="27.75" customHeight="1">
      <c r="A7" s="2"/>
      <c r="B7" s="117" t="s">
        <v>591</v>
      </c>
      <c r="C7" s="119" t="s">
        <v>592</v>
      </c>
      <c r="D7" s="119" t="s">
        <v>593</v>
      </c>
    </row>
    <row r="8" spans="1:4" ht="27.75" customHeight="1">
      <c r="A8" s="2"/>
      <c r="B8" s="116" t="s">
        <v>682</v>
      </c>
      <c r="C8" s="118" t="s">
        <v>594</v>
      </c>
      <c r="D8" s="118" t="s">
        <v>595</v>
      </c>
    </row>
    <row r="9" spans="1:4" ht="27.75" customHeight="1">
      <c r="A9" s="2"/>
      <c r="B9" s="117" t="s">
        <v>596</v>
      </c>
      <c r="C9" s="119" t="s">
        <v>597</v>
      </c>
      <c r="D9" s="119" t="s">
        <v>598</v>
      </c>
    </row>
    <row r="10" spans="1:4" ht="27.75" customHeight="1">
      <c r="A10" s="2"/>
      <c r="B10" s="116" t="s">
        <v>599</v>
      </c>
      <c r="C10" s="119" t="s">
        <v>672</v>
      </c>
      <c r="D10" s="119" t="s">
        <v>673</v>
      </c>
    </row>
    <row r="11" spans="1:4" ht="27.75" customHeight="1">
      <c r="A11" s="2"/>
      <c r="B11" s="117" t="s">
        <v>600</v>
      </c>
      <c r="C11" s="119" t="s">
        <v>601</v>
      </c>
      <c r="D11" s="119" t="s">
        <v>602</v>
      </c>
    </row>
    <row r="12" spans="1:4" ht="27.75" customHeight="1">
      <c r="A12" s="2"/>
      <c r="B12" s="116" t="s">
        <v>603</v>
      </c>
      <c r="C12" s="118" t="s">
        <v>604</v>
      </c>
      <c r="D12" s="118" t="s">
        <v>605</v>
      </c>
    </row>
    <row r="13" spans="1:4" ht="27.75" customHeight="1">
      <c r="A13" s="2"/>
      <c r="B13" s="117" t="s">
        <v>606</v>
      </c>
      <c r="C13" s="119" t="s">
        <v>607</v>
      </c>
      <c r="D13" s="119" t="s">
        <v>608</v>
      </c>
    </row>
    <row r="14" spans="1:4" ht="27.75" customHeight="1">
      <c r="A14" s="2"/>
      <c r="B14" s="116" t="s">
        <v>609</v>
      </c>
      <c r="C14" s="118" t="s">
        <v>610</v>
      </c>
      <c r="D14" s="118" t="s">
        <v>611</v>
      </c>
    </row>
    <row r="15" spans="1:4" ht="27.75" customHeight="1">
      <c r="A15" s="2"/>
      <c r="B15" s="117" t="s">
        <v>612</v>
      </c>
      <c r="C15" s="119" t="s">
        <v>613</v>
      </c>
      <c r="D15" s="119" t="s">
        <v>614</v>
      </c>
    </row>
    <row r="16" spans="1:4" ht="15" customHeight="1">
      <c r="A16" s="2"/>
      <c r="B16" s="2"/>
      <c r="C16" s="2"/>
      <c r="D16" s="2"/>
    </row>
    <row r="17" spans="1:4" ht="15" customHeight="1">
      <c r="A17" s="2"/>
      <c r="B17" s="140" t="s">
        <v>615</v>
      </c>
      <c r="C17" s="140"/>
      <c r="D17" s="140"/>
    </row>
  </sheetData>
  <mergeCells count="3">
    <mergeCell ref="B2:D2"/>
    <mergeCell ref="B3:D3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2"/>
  <sheetViews>
    <sheetView showGridLines="0" zoomScaleNormal="100" workbookViewId="0"/>
  </sheetViews>
  <sheetFormatPr baseColWidth="10" defaultColWidth="8.6640625" defaultRowHeight="14.4"/>
  <sheetData>
    <row r="1" spans="1:1" ht="15" customHeight="1">
      <c r="A1" t="s">
        <v>616</v>
      </c>
    </row>
    <row r="2" spans="1:1" ht="15" customHeight="1">
      <c r="A2" t="s">
        <v>617</v>
      </c>
    </row>
    <row r="3" spans="1:1" ht="15" customHeight="1">
      <c r="A3" t="s">
        <v>618</v>
      </c>
    </row>
    <row r="4" spans="1:1" ht="15" customHeight="1">
      <c r="A4" t="s">
        <v>619</v>
      </c>
    </row>
    <row r="5" spans="1:1" ht="15" customHeight="1">
      <c r="A5" t="s">
        <v>620</v>
      </c>
    </row>
    <row r="6" spans="1:1" ht="15" customHeight="1">
      <c r="A6" t="s">
        <v>621</v>
      </c>
    </row>
    <row r="7" spans="1:1" ht="15" customHeight="1">
      <c r="A7" t="s">
        <v>622</v>
      </c>
    </row>
    <row r="8" spans="1:1" ht="15" customHeight="1">
      <c r="A8" t="s">
        <v>623</v>
      </c>
    </row>
    <row r="9" spans="1:1" ht="15" customHeight="1">
      <c r="A9" t="s">
        <v>624</v>
      </c>
    </row>
    <row r="10" spans="1:1" ht="15" customHeight="1">
      <c r="A10" t="s">
        <v>625</v>
      </c>
    </row>
    <row r="11" spans="1:1" ht="15" customHeight="1">
      <c r="A11" t="s">
        <v>626</v>
      </c>
    </row>
    <row r="12" spans="1:1" ht="15" customHeight="1">
      <c r="A12" t="s">
        <v>627</v>
      </c>
    </row>
    <row r="13" spans="1:1" ht="15" customHeight="1">
      <c r="A13" t="s">
        <v>628</v>
      </c>
    </row>
    <row r="14" spans="1:1" ht="15" customHeight="1">
      <c r="A14" t="s">
        <v>629</v>
      </c>
    </row>
    <row r="15" spans="1:1" ht="15" customHeight="1">
      <c r="A15" t="s">
        <v>630</v>
      </c>
    </row>
    <row r="16" spans="1:1" ht="15" customHeight="1">
      <c r="A16" t="s">
        <v>631</v>
      </c>
    </row>
    <row r="17" spans="1:1" ht="15" customHeight="1">
      <c r="A17" t="s">
        <v>632</v>
      </c>
    </row>
    <row r="18" spans="1:1" ht="15" customHeight="1">
      <c r="A18" t="s">
        <v>633</v>
      </c>
    </row>
    <row r="19" spans="1:1" ht="15" customHeight="1">
      <c r="A19" t="s">
        <v>634</v>
      </c>
    </row>
    <row r="20" spans="1:1" ht="15" customHeight="1">
      <c r="A20" t="s">
        <v>635</v>
      </c>
    </row>
    <row r="21" spans="1:1" ht="15" customHeight="1">
      <c r="A21" t="s">
        <v>636</v>
      </c>
    </row>
    <row r="22" spans="1:1" ht="15" customHeight="1">
      <c r="A22" t="s">
        <v>637</v>
      </c>
    </row>
    <row r="23" spans="1:1" ht="15" customHeight="1">
      <c r="A23" t="s">
        <v>638</v>
      </c>
    </row>
    <row r="24" spans="1:1" ht="15" customHeight="1">
      <c r="A24" t="s">
        <v>639</v>
      </c>
    </row>
    <row r="25" spans="1:1" ht="15" customHeight="1">
      <c r="A25" t="s">
        <v>640</v>
      </c>
    </row>
    <row r="26" spans="1:1" ht="15" customHeight="1">
      <c r="A26" t="s">
        <v>29</v>
      </c>
    </row>
    <row r="27" spans="1:1" ht="15" customHeight="1">
      <c r="A27" t="s">
        <v>641</v>
      </c>
    </row>
    <row r="28" spans="1:1" ht="15" customHeight="1">
      <c r="A28" t="s">
        <v>642</v>
      </c>
    </row>
    <row r="29" spans="1:1" ht="15" customHeight="1">
      <c r="A29" t="s">
        <v>643</v>
      </c>
    </row>
    <row r="30" spans="1:1" ht="15" customHeight="1">
      <c r="A30" t="s">
        <v>644</v>
      </c>
    </row>
    <row r="31" spans="1:1" ht="15" customHeight="1">
      <c r="A31" t="s">
        <v>645</v>
      </c>
    </row>
    <row r="32" spans="1:1" ht="15" customHeight="1">
      <c r="A32" t="s">
        <v>646</v>
      </c>
    </row>
    <row r="33" spans="1:1" ht="15" customHeight="1">
      <c r="A33" t="s">
        <v>647</v>
      </c>
    </row>
    <row r="34" spans="1:1" ht="15" customHeight="1">
      <c r="A34" t="s">
        <v>648</v>
      </c>
    </row>
    <row r="35" spans="1:1" ht="15" customHeight="1">
      <c r="A35" t="s">
        <v>649</v>
      </c>
    </row>
    <row r="36" spans="1:1" ht="15" customHeight="1">
      <c r="A36" t="s">
        <v>650</v>
      </c>
    </row>
    <row r="37" spans="1:1" ht="15" customHeight="1">
      <c r="A37" t="s">
        <v>651</v>
      </c>
    </row>
    <row r="38" spans="1:1" ht="15" customHeight="1">
      <c r="A38" t="s">
        <v>652</v>
      </c>
    </row>
    <row r="39" spans="1:1" ht="15" customHeight="1">
      <c r="A39" t="s">
        <v>653</v>
      </c>
    </row>
    <row r="40" spans="1:1" ht="15" customHeight="1">
      <c r="A40" t="s">
        <v>654</v>
      </c>
    </row>
    <row r="41" spans="1:1" ht="15" customHeight="1">
      <c r="A41" t="s">
        <v>655</v>
      </c>
    </row>
    <row r="42" spans="1:1" ht="15" customHeight="1">
      <c r="A42" t="s">
        <v>656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🏠 PORTADA</vt:lpstr>
      <vt:lpstr>📇 INVENTARIO</vt:lpstr>
      <vt:lpstr>📋 RANKING</vt:lpstr>
      <vt:lpstr>📊 SECCIONES</vt:lpstr>
      <vt:lpstr>⚙️ SUPUESTOS</vt:lpstr>
      <vt:lpstr>📊 PANEL</vt:lpstr>
      <vt:lpstr>📌 FUENTES</vt:lpstr>
      <vt:lpstr>_cfg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alvar.prado@estudiantes.uva.es</dc:creator>
  <dc:description/>
  <cp:lastModifiedBy>ALVAR DEL PRADO SUAREZ</cp:lastModifiedBy>
  <cp:revision>17</cp:revision>
  <dcterms:created xsi:type="dcterms:W3CDTF">2026-07-11T11:26:27Z</dcterms:created>
  <dcterms:modified xsi:type="dcterms:W3CDTF">2026-09-19T17:29:08Z</dcterms:modified>
  <dc:language>en-US</dc:language>
</cp:coreProperties>
</file>